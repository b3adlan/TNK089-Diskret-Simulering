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4\"/>
    </mc:Choice>
  </mc:AlternateContent>
  <xr:revisionPtr revIDLastSave="0" documentId="13_ncr:1_{0F7E84A1-5BC1-4FDA-AB3E-05ABC45D507E}" xr6:coauthVersionLast="47" xr6:coauthVersionMax="47" xr10:uidLastSave="{00000000-0000-0000-0000-000000000000}"/>
  <bookViews>
    <workbookView xWindow="2520" yWindow="1230" windowWidth="15550" windowHeight="72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DiscreteTimeStatsByRep!$A$1:$K$18</definedName>
    <definedName name="ExternalData_1" localSheetId="6" hidden="1">FrequencyStatsByRep!$A$1:$K$2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5" i="20" s="1" a="1"/>
  <c r="O5" i="20" s="1"/>
  <c r="I6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2" i="20" a="1"/>
  <c r="O2" i="20" s="1"/>
  <c r="O3" i="20" a="1"/>
  <c r="O3" i="20" s="1"/>
  <c r="O4" i="20" a="1"/>
  <c r="O4" i="20" s="1"/>
  <c r="O6" i="20" a="1"/>
  <c r="O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M2" i="18"/>
  <c r="M3" i="18"/>
  <c r="M4" i="18"/>
  <c r="M5" i="18"/>
  <c r="M6" i="18"/>
  <c r="M7" i="18"/>
  <c r="M8" i="18"/>
  <c r="N2" i="18" a="1"/>
  <c r="N2" i="18" s="1"/>
  <c r="N3" i="18" a="1"/>
  <c r="N3" i="18" s="1"/>
  <c r="N4" i="18" a="1"/>
  <c r="N4" i="18" s="1"/>
  <c r="N5" i="18" a="1"/>
  <c r="N5" i="18"/>
  <c r="N6" i="18" a="1"/>
  <c r="N6" i="18" s="1"/>
  <c r="N7" i="18" a="1"/>
  <c r="N7" i="18" s="1"/>
  <c r="N8" i="18" a="1"/>
  <c r="N8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/>
  <c r="O8" i="18" a="1"/>
  <c r="O8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 s="1"/>
  <c r="Q8" i="18" a="1"/>
  <c r="Q8" i="18" s="1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U5" i="18"/>
  <c r="L2" i="17"/>
  <c r="L3" i="17"/>
  <c r="L4" i="17"/>
  <c r="L5" i="17"/>
  <c r="L6" i="17"/>
  <c r="L7" i="17"/>
  <c r="L8" i="17"/>
  <c r="L9" i="17"/>
  <c r="R5" i="17" s="1" a="1"/>
  <c r="R5" i="17" s="1"/>
  <c r="L10" i="17"/>
  <c r="L11" i="17"/>
  <c r="L12" i="17"/>
  <c r="L13" i="17"/>
  <c r="L14" i="17"/>
  <c r="L15" i="17"/>
  <c r="L16" i="17"/>
  <c r="L17" i="17"/>
  <c r="L18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M18" i="17" a="1"/>
  <c r="M18" i="17"/>
  <c r="O6" i="17" a="1"/>
  <c r="O6" i="17"/>
  <c r="O7" i="17" a="1"/>
  <c r="O7" i="17" s="1"/>
  <c r="O8" i="17" a="1"/>
  <c r="O8" i="17" s="1"/>
  <c r="O9" i="17" a="1"/>
  <c r="O9" i="17" s="1"/>
  <c r="Q9" i="17" s="1"/>
  <c r="O10" i="17" a="1"/>
  <c r="O10" i="17" s="1"/>
  <c r="O11" i="17" a="1"/>
  <c r="O11" i="17" s="1"/>
  <c r="O12" i="17" a="1"/>
  <c r="O12" i="17" s="1"/>
  <c r="O13" i="17" a="1"/>
  <c r="O1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/>
  <c r="P14" i="17" a="1"/>
  <c r="P14" i="17"/>
  <c r="P15" i="17" a="1"/>
  <c r="P15" i="17"/>
  <c r="P16" i="17" a="1"/>
  <c r="P16" i="17"/>
  <c r="P17" i="17" a="1"/>
  <c r="P17" i="17"/>
  <c r="P18" i="17" a="1"/>
  <c r="P18" i="17"/>
  <c r="R11" i="17" a="1"/>
  <c r="R11" i="17"/>
  <c r="R12" i="17" a="1"/>
  <c r="R12" i="17" s="1"/>
  <c r="R13" i="17" a="1"/>
  <c r="R1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S2" i="17" a="1"/>
  <c r="S2" i="17" s="1"/>
  <c r="S3" i="17" a="1"/>
  <c r="S3" i="17" s="1"/>
  <c r="S4" i="17" a="1"/>
  <c r="S4" i="17" s="1"/>
  <c r="S5" i="17" a="1"/>
  <c r="S5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U7" i="17" a="1"/>
  <c r="U7" i="17" s="1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X2" i="17" a="1"/>
  <c r="X2" i="17" s="1"/>
  <c r="Y2" i="17" s="1"/>
  <c r="X3" i="17" a="1"/>
  <c r="X3" i="17" s="1"/>
  <c r="Y3" i="17" s="1"/>
  <c r="X4" i="17" a="1"/>
  <c r="X4" i="17" s="1"/>
  <c r="Y4" i="17" s="1"/>
  <c r="X5" i="17" a="1"/>
  <c r="X5" i="17" s="1"/>
  <c r="Y5" i="17" s="1"/>
  <c r="X6" i="17" a="1"/>
  <c r="X6" i="17" s="1"/>
  <c r="Y6" i="17" s="1"/>
  <c r="Q6" i="17" s="1"/>
  <c r="X7" i="17" a="1"/>
  <c r="X7" i="17" s="1"/>
  <c r="Y7" i="17" s="1"/>
  <c r="X8" i="17" a="1"/>
  <c r="X8" i="17" s="1"/>
  <c r="Y8" i="17" s="1"/>
  <c r="Q8" i="17" s="1"/>
  <c r="X9" i="17" a="1"/>
  <c r="X9" i="17" s="1"/>
  <c r="Y9" i="17" s="1"/>
  <c r="X10" i="17" a="1"/>
  <c r="X10" i="17" s="1"/>
  <c r="Y10" i="17" s="1"/>
  <c r="X11" i="17" a="1"/>
  <c r="X11" i="17" s="1"/>
  <c r="Y11" i="17" s="1"/>
  <c r="X12" i="17" a="1"/>
  <c r="X12" i="17" s="1"/>
  <c r="Y12" i="17" s="1"/>
  <c r="X13" i="17" a="1"/>
  <c r="X13" i="17" s="1"/>
  <c r="Y13" i="17" s="1"/>
  <c r="Q13" i="17" s="1"/>
  <c r="X14" i="17" a="1"/>
  <c r="X14" i="17" s="1"/>
  <c r="Y14" i="17" s="1"/>
  <c r="Q14" i="17" s="1"/>
  <c r="X15" i="17" a="1"/>
  <c r="X15" i="17" s="1"/>
  <c r="Y15" i="17" s="1"/>
  <c r="Q15" i="17" s="1"/>
  <c r="X16" i="17" a="1"/>
  <c r="X16" i="17" s="1"/>
  <c r="Y16" i="17" s="1"/>
  <c r="Q16" i="17" s="1"/>
  <c r="X17" i="17" a="1"/>
  <c r="X17" i="17" s="1"/>
  <c r="Y17" i="17" s="1"/>
  <c r="Q17" i="17" s="1"/>
  <c r="X18" i="17" a="1"/>
  <c r="X18" i="17" s="1"/>
  <c r="Y18" i="17" s="1"/>
  <c r="Q18" i="17" s="1"/>
  <c r="G2" i="16"/>
  <c r="N5" i="20" l="1"/>
  <c r="N4" i="20"/>
  <c r="N3" i="20"/>
  <c r="N2" i="20"/>
  <c r="N6" i="20"/>
  <c r="R5" i="18"/>
  <c r="U2" i="18"/>
  <c r="R2" i="18"/>
  <c r="U3" i="18"/>
  <c r="R3" i="18"/>
  <c r="U4" i="18"/>
  <c r="R4" i="18"/>
  <c r="U6" i="18"/>
  <c r="R6" i="18"/>
  <c r="R7" i="18"/>
  <c r="U7" i="18"/>
  <c r="R8" i="18"/>
  <c r="U8" i="18"/>
  <c r="N5" i="17" a="1"/>
  <c r="N5" i="17" s="1"/>
  <c r="N6" i="17" a="1"/>
  <c r="N6" i="17" s="1"/>
  <c r="N7" i="17" a="1"/>
  <c r="N7" i="17" s="1"/>
  <c r="T10" i="17" a="1"/>
  <c r="T10" i="17" s="1"/>
  <c r="T14" i="17" a="1"/>
  <c r="T14" i="17" s="1"/>
  <c r="T15" i="17" a="1"/>
  <c r="T15" i="17" s="1"/>
  <c r="T16" i="17" a="1"/>
  <c r="T16" i="17" s="1"/>
  <c r="T17" i="17" a="1"/>
  <c r="T17" i="17" s="1"/>
  <c r="Q10" i="17"/>
  <c r="Q12" i="17"/>
  <c r="Q7" i="17"/>
  <c r="Q11" i="17"/>
  <c r="Q3" i="17"/>
  <c r="N2" i="17" a="1"/>
  <c r="N2" i="17" s="1"/>
  <c r="N3" i="17" a="1"/>
  <c r="N3" i="17" s="1"/>
  <c r="R4" i="17" a="1"/>
  <c r="R4" i="17" s="1"/>
  <c r="N4" i="17" a="1"/>
  <c r="N4" i="17" s="1"/>
  <c r="R6" i="17" a="1"/>
  <c r="R6" i="17" s="1"/>
  <c r="N11" i="17" a="1"/>
  <c r="N11" i="17" s="1"/>
  <c r="R7" i="17" a="1"/>
  <c r="R7" i="17" s="1"/>
  <c r="O3" i="17" a="1"/>
  <c r="O3" i="17" s="1"/>
  <c r="R8" i="17" a="1"/>
  <c r="R8" i="17" s="1"/>
  <c r="O4" i="17" a="1"/>
  <c r="O4" i="17" s="1"/>
  <c r="Q4" i="17" s="1"/>
  <c r="R9" i="17" a="1"/>
  <c r="R9" i="17" s="1"/>
  <c r="T18" i="17" a="1"/>
  <c r="T18" i="17" s="1"/>
  <c r="O5" i="17" a="1"/>
  <c r="O5" i="17" s="1"/>
  <c r="Q5" i="17" s="1"/>
  <c r="R10" i="17" a="1"/>
  <c r="R10" i="17" s="1"/>
  <c r="S7" i="17" a="1"/>
  <c r="S7" i="17" s="1"/>
  <c r="S8" i="17" a="1"/>
  <c r="S8" i="17" s="1"/>
  <c r="S10" i="17" a="1"/>
  <c r="S10" i="17" s="1"/>
  <c r="S11" i="17" a="1"/>
  <c r="S11" i="17" s="1"/>
  <c r="S12" i="17" a="1"/>
  <c r="S12" i="17" s="1"/>
  <c r="U2" i="17" a="1"/>
  <c r="U2" i="17" s="1"/>
  <c r="T8" i="17" a="1"/>
  <c r="T8" i="17" s="1"/>
  <c r="N8" i="17" a="1"/>
  <c r="N8" i="17" s="1"/>
  <c r="T9" i="17" a="1"/>
  <c r="T9" i="17" s="1"/>
  <c r="U3" i="17" a="1"/>
  <c r="U3" i="17" s="1"/>
  <c r="T11" i="17" a="1"/>
  <c r="T11" i="17" s="1"/>
  <c r="N9" i="17" a="1"/>
  <c r="N9" i="17" s="1"/>
  <c r="R2" i="17" a="1"/>
  <c r="R2" i="17" s="1"/>
  <c r="U4" i="17" a="1"/>
  <c r="U4" i="17" s="1"/>
  <c r="T12" i="17" a="1"/>
  <c r="T12" i="17" s="1"/>
  <c r="U5" i="17" a="1"/>
  <c r="U5" i="17" s="1"/>
  <c r="U6" i="17" a="1"/>
  <c r="U6" i="17" s="1"/>
  <c r="T13" i="17" a="1"/>
  <c r="T13" i="17" s="1"/>
  <c r="N10" i="17" a="1"/>
  <c r="N10" i="17" s="1"/>
  <c r="R3" i="17" a="1"/>
  <c r="R3" i="17" s="1"/>
  <c r="S6" i="17" a="1"/>
  <c r="S6" i="17" s="1"/>
  <c r="N12" i="17" a="1"/>
  <c r="N12" i="17" s="1"/>
  <c r="S9" i="17" a="1"/>
  <c r="S9" i="17" s="1"/>
  <c r="O2" i="17" a="1"/>
  <c r="O2" i="17" s="1"/>
  <c r="Q2" i="17" s="1"/>
  <c r="S13" i="17" a="1"/>
  <c r="S13" i="17" s="1"/>
  <c r="N13" i="17" a="1"/>
  <c r="N13" i="17" s="1"/>
  <c r="S14" i="17" a="1"/>
  <c r="S14" i="17" s="1"/>
  <c r="N14" i="17" a="1"/>
  <c r="N14" i="17" s="1"/>
  <c r="T2" i="17" a="1"/>
  <c r="T2" i="17" s="1"/>
  <c r="S15" i="17" a="1"/>
  <c r="S15" i="17" s="1"/>
  <c r="N15" i="17" a="1"/>
  <c r="N15" i="17" s="1"/>
  <c r="S16" i="17" a="1"/>
  <c r="S16" i="17" s="1"/>
  <c r="N16" i="17" a="1"/>
  <c r="N16" i="17" s="1"/>
  <c r="S17" i="17" a="1"/>
  <c r="S17" i="17" s="1"/>
  <c r="N17" i="17" a="1"/>
  <c r="N17" i="17" s="1"/>
  <c r="S18" i="17" a="1"/>
  <c r="S18" i="17" s="1"/>
  <c r="N18" i="17" a="1"/>
  <c r="N1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4\team04_uppgift4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<sst xmlns="http://schemas.openxmlformats.org/spreadsheetml/2006/main" count="390" uniqueCount="97">
  <si>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</si>
  <si>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</si>
  <si>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</si>
  <si>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</si>
  <si>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</si>
  <si>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</si>
  <si>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</si>
  <si>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</si>
  <si>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</si>
  <si>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</si>
  <si>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</si>
  <si>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</si>
  <si>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</si>
  <si>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</si>
  <si>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</si>
  <si>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</si>
  <si>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</si>
  <si>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</si>
  <si>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</si>
  <si>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</si>
  <si>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</si>
  <si>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</si>
  <si>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</si>
  <si>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</si>
  <si>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</si>
  <si>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</si>
  <si>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</si>
  <si>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</si>
  <si>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</si>
  <si>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</si>
  <si>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</si>
  <si>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</si>
  <si>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</si>
  <si>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</si>
  <si>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</si>
  <si>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</si>
  <si>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</si>
  <si>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</si>
  <si>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</si>
  <si>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</si>
  <si>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</si>
  <si>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</si>
  <si>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</si>
  <si>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</si>
  <si>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</si>
  <si>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</si>
  <si>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</si>
  <si>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</si>
  <si>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</si>
  <si>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</si>
  <si>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</si>
  <si>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</si>
  <si>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</si>
  <si>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</si>
  <si>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</si>
  <si>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</si>
  <si>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</si>
  <si>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</si>
  <si>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</si>
  <si>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</si>
  <si>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</si>
  <si>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</si>
  <si>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</si>
  <si>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</si>
  <si>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</si>
  <si>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</si>
  <si>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</si>
  <si>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</si>
  <si>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Simulering\lab4\team04_uppgift4a.p</t>
  </si>
  <si>
    <t>2026-02-25 14:52:51</t>
  </si>
  <si>
    <t>Begar Truck Brygga 1.Queue</t>
  </si>
  <si>
    <t>Waiting Time</t>
  </si>
  <si>
    <t>Queue</t>
  </si>
  <si>
    <t>Begar Truck Brygga 2.Queue</t>
  </si>
  <si>
    <t>Begar Truck Brygga 3.Queue</t>
  </si>
  <si>
    <t>Begar Truck Brygga 4.Queue</t>
  </si>
  <si>
    <t>Begar Truck Brygga 5.Queue</t>
  </si>
  <si>
    <t>Lastbil</t>
  </si>
  <si>
    <t>NVA Time</t>
  </si>
  <si>
    <t>Entity</t>
  </si>
  <si>
    <t>Other Time</t>
  </si>
  <si>
    <t>Total Time</t>
  </si>
  <si>
    <t>Transfer Time</t>
  </si>
  <si>
    <t>VA Time</t>
  </si>
  <si>
    <t>Wait Time</t>
  </si>
  <si>
    <t>Pall</t>
  </si>
  <si>
    <t>Number Waiting</t>
  </si>
  <si>
    <t>WIP</t>
  </si>
  <si>
    <t>Lastbil.NumberIn</t>
  </si>
  <si>
    <t>Number In</t>
  </si>
  <si>
    <t>Lastbil.NumberOut</t>
  </si>
  <si>
    <t>Number Out</t>
  </si>
  <si>
    <t>Pall.NumberIn</t>
  </si>
  <si>
    <t>Pall.NumberOut</t>
  </si>
  <si>
    <t>System.NumberOut</t>
  </si>
  <si>
    <t>System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</si>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</sst>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62126203703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621262152781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1">
        <s v="Begar Truck Brygga 1.Queue"/>
        <s v="Begar Truck Brygga 2.Queue"/>
        <s v="Begar Truck Brygga 3.Queue"/>
        <s v="Begar Truck Brygga 4.Queue"/>
        <s v="Begar Truck Brygga 5.Queue"/>
        <s v="Lastbil"/>
        <s v="Pall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16.671342082261098"/>
    </cacheField>
    <cacheField name="BatchMeansHalfWidth" numFmtId="0">
      <sharedItems containsSemiMixedTypes="0" containsString="0" containsNumber="1" minValue="3.9726202244818198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20" maxValue="58"/>
    </cacheField>
    <cacheField name="LastRecordedValue" numFmtId="0">
      <sharedItems containsSemiMixedTypes="0" containsString="0" containsNumber="1" containsInteger="1" minValue="0" maxValue="1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6.6713420822610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6.671342082261098"/>
    </cacheField>
    <cacheField name="MaximumAverage" numFmtId="0">
      <sharedItems containsSemiMixedTypes="0" containsString="0" containsNumber="1" minValue="0" maxValue="16.671342082261098"/>
    </cacheField>
    <cacheField name="SummaryHalfWidth" numFmtId="0">
      <sharedItems containsSemiMixedTypes="0" containsString="0" containsNumber="1" minValue="3.9726202244818198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62126238425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621262615743" createdVersion="7" refreshedVersion="8" minRefreshableVersion="3" recordCount="1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6">
        <s v="Begar Truck Brygga 1.Queue"/>
        <s v="Begar Truck Brygga 2.Queue"/>
        <s v="Begar Truck Brygga 3.Queue"/>
        <s v="Begar Truck Brygga 4.Queue"/>
        <s v="Begar Truck Brygga 5.Queue"/>
        <s v="Lastbil"/>
        <s v="Pall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2367287397184"/>
    </cacheField>
    <cacheField name="BatchMeansHalfWidth" numFmtId="0">
      <sharedItems containsSemiMixedTypes="0" containsString="0" containsNumber="1" minValue="0" maxValue="2E+20"/>
    </cacheField>
    <cacheField name="Minimum" numFmtId="0">
      <sharedItems containsSemiMixedTypes="0" containsString="0" containsNumber="1" minValue="0" maxValue="0.66436860247199503"/>
    </cacheField>
    <cacheField name="Maximum" numFmtId="0">
      <sharedItems containsSemiMixedTypes="0" containsString="0" containsNumber="1" minValue="0" maxValue="27.3215534804695"/>
    </cacheField>
    <cacheField name="NumberObservations" numFmtId="0">
      <sharedItems containsSemiMixedTypes="0" containsString="0" containsNumber="1" containsInteger="1" minValue="79" maxValue="116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0.236728739718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0.2367287397184"/>
    </cacheField>
    <cacheField name="MaximumAverage" numFmtId="0">
      <sharedItems containsSemiMixedTypes="0" containsString="0" containsNumber="1" minValue="0" maxValue="10.2367287397184"/>
    </cacheField>
    <cacheField name="OverallMinimum" numFmtId="0">
      <sharedItems containsSemiMixedTypes="0" containsString="0" containsNumber="1" minValue="0" maxValue="0.66436860247199503"/>
    </cacheField>
    <cacheField name="OverallMaximum" numFmtId="0">
      <sharedItems containsSemiMixedTypes="0" containsString="0" containsNumber="1" minValue="0" maxValue="27.3215534804695"/>
    </cacheField>
    <cacheField name="AverageNumberObservations" numFmtId="0">
      <sharedItems containsSemiMixedTypes="0" containsString="0" containsNumber="1" containsInteger="1" minValue="79" maxValue="1167"/>
    </cacheField>
    <cacheField name="SummaryHalfWidth" numFmtId="0">
      <sharedItems containsSemiMixedTypes="0" containsString="0" containsNumber="1" minValue="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8.621262731482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Lastbil.NumberIn"/>
        <s v="Lastbil.NumberOut"/>
        <s v="Pall.NumberIn"/>
        <s v="Pall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1167" maxValue="126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containsInteger="1" minValue="1167" maxValue="1264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containsInteger="1" minValue="1167" maxValue="1264"/>
    </cacheField>
    <cacheField name="Maximum" numFmtId="0">
      <sharedItems containsSemiMixedTypes="0" containsString="0" containsNumber="1" containsInteger="1" minValue="1167" maxValue="12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25 14:52:51"/>
    <n v="1"/>
    <x v="0"/>
    <x v="0"/>
    <x v="0"/>
    <n v="2.4805368708209001"/>
    <n v="2E+20"/>
    <n v="0"/>
    <n v="20"/>
    <n v="13"/>
    <n v="0"/>
    <s v="Unnamed ProjectBegar Truck Brygga 1.QueueNumber WaitingQueue"/>
    <n v="1"/>
    <n v="2.4805368708209001"/>
    <n v="0"/>
    <n v="0.95"/>
    <n v="4E+20"/>
    <n v="2.4805368708209001"/>
    <n v="2.4805368708209001"/>
    <n v="2E+20"/>
  </r>
  <r>
    <x v="0"/>
    <s v="2026-02-25 14:52:51"/>
    <n v="1"/>
    <x v="1"/>
    <x v="0"/>
    <x v="0"/>
    <n v="2.4652432265725701"/>
    <n v="2E+20"/>
    <n v="0"/>
    <n v="20"/>
    <n v="0"/>
    <n v="0"/>
    <s v="Unnamed ProjectBegar Truck Brygga 2.QueueNumber WaitingQueue"/>
    <n v="1"/>
    <n v="2.4652432265725701"/>
    <n v="0"/>
    <n v="0.95"/>
    <n v="4E+20"/>
    <n v="2.4652432265725701"/>
    <n v="2.4652432265725701"/>
    <n v="2E+20"/>
  </r>
  <r>
    <x v="0"/>
    <s v="2026-02-25 14:52:51"/>
    <n v="1"/>
    <x v="2"/>
    <x v="0"/>
    <x v="0"/>
    <n v="3.0877424464912502"/>
    <n v="2E+20"/>
    <n v="0"/>
    <n v="20"/>
    <n v="0"/>
    <n v="0"/>
    <s v="Unnamed ProjectBegar Truck Brygga 3.QueueNumber WaitingQueue"/>
    <n v="1"/>
    <n v="3.0877424464912502"/>
    <n v="0"/>
    <n v="0.95"/>
    <n v="4E+20"/>
    <n v="3.0877424464912502"/>
    <n v="3.0877424464912502"/>
    <n v="2E+20"/>
  </r>
  <r>
    <x v="0"/>
    <s v="2026-02-25 14:52:51"/>
    <n v="1"/>
    <x v="3"/>
    <x v="0"/>
    <x v="0"/>
    <n v="2.4414332968405201"/>
    <n v="2E+20"/>
    <n v="0"/>
    <n v="21"/>
    <n v="0"/>
    <n v="0"/>
    <s v="Unnamed ProjectBegar Truck Brygga 4.QueueNumber WaitingQueue"/>
    <n v="1"/>
    <n v="2.4414332968405201"/>
    <n v="0"/>
    <n v="0.95"/>
    <n v="4E+20"/>
    <n v="2.4414332968405201"/>
    <n v="2.4414332968405201"/>
    <n v="2E+20"/>
  </r>
  <r>
    <x v="0"/>
    <s v="2026-02-25 14:52:51"/>
    <n v="1"/>
    <x v="4"/>
    <x v="0"/>
    <x v="0"/>
    <n v="2.08668355372212"/>
    <n v="2E+20"/>
    <n v="0"/>
    <n v="20"/>
    <n v="0"/>
    <n v="0"/>
    <s v="Unnamed ProjectBegar Truck Brygga 5.QueueNumber WaitingQueue"/>
    <n v="1"/>
    <n v="2.08668355372212"/>
    <n v="0"/>
    <n v="0.95"/>
    <n v="4E+20"/>
    <n v="2.08668355372212"/>
    <n v="2.08668355372212"/>
    <n v="2E+20"/>
  </r>
  <r>
    <x v="0"/>
    <s v="2026-02-25 14:52:51"/>
    <n v="1"/>
    <x v="5"/>
    <x v="1"/>
    <x v="1"/>
    <n v="0"/>
    <n v="2E+20"/>
    <n v="0"/>
    <n v="22"/>
    <n v="0"/>
    <n v="0"/>
    <s v="Unnamed ProjectLastbilWIPEntity"/>
    <n v="1"/>
    <n v="0"/>
    <n v="0"/>
    <n v="0.95"/>
    <n v="4E+20"/>
    <n v="0"/>
    <n v="0"/>
    <n v="2E+20"/>
  </r>
  <r>
    <x v="0"/>
    <s v="2026-02-25 14:52:51"/>
    <n v="1"/>
    <x v="6"/>
    <x v="1"/>
    <x v="1"/>
    <n v="16.671342082261098"/>
    <n v="3.9726202244818198"/>
    <n v="0"/>
    <n v="58"/>
    <n v="18"/>
    <n v="0"/>
    <s v="Unnamed ProjectPallWIPEntity"/>
    <n v="1"/>
    <n v="16.671342082261098"/>
    <n v="0"/>
    <n v="0.95"/>
    <n v="4E+20"/>
    <n v="16.671342082261098"/>
    <n v="16.671342082261098"/>
    <n v="3.97262022448181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6-02-25 14:52:51"/>
    <n v="1"/>
    <x v="0"/>
    <x v="0"/>
    <x v="0"/>
    <n v="8.0903595406276807"/>
    <n v="2E+20"/>
    <n v="0"/>
    <n v="22.977582290469499"/>
    <n v="217"/>
    <s v="Unnamed ProjectBegar Truck Brygga 1.QueueWaiting TimeQueue"/>
    <n v="1"/>
    <n v="8.0903595406276807"/>
    <n v="0"/>
    <n v="0.95"/>
    <n v="4E+20"/>
    <n v="8.0903595406276807"/>
    <n v="8.0903595406276807"/>
    <n v="0"/>
    <n v="22.977582290469499"/>
    <n v="217"/>
    <n v="2E+20"/>
    <n v="1"/>
    <n v="1"/>
  </r>
  <r>
    <x v="0"/>
    <s v="2026-02-25 14:52:51"/>
    <n v="1"/>
    <x v="1"/>
    <x v="0"/>
    <x v="0"/>
    <n v="8.0680687415102295"/>
    <n v="2E+20"/>
    <n v="0"/>
    <n v="24.585459384109701"/>
    <n v="220"/>
    <s v="Unnamed ProjectBegar Truck Brygga 2.QueueWaiting TimeQueue"/>
    <n v="1"/>
    <n v="8.0680687415102295"/>
    <n v="0"/>
    <n v="0.95"/>
    <n v="4E+20"/>
    <n v="8.0680687415102295"/>
    <n v="8.0680687415102295"/>
    <n v="0"/>
    <n v="24.585459384109701"/>
    <n v="220"/>
    <n v="2E+20"/>
    <n v="1"/>
    <n v="1"/>
  </r>
  <r>
    <x v="0"/>
    <s v="2026-02-25 14:52:51"/>
    <n v="1"/>
    <x v="2"/>
    <x v="0"/>
    <x v="0"/>
    <n v="8.2035961677996099"/>
    <n v="2E+20"/>
    <n v="0"/>
    <n v="22.515781837405001"/>
    <n v="271"/>
    <s v="Unnamed ProjectBegar Truck Brygga 3.QueueWaiting TimeQueue"/>
    <n v="1"/>
    <n v="8.2035961677996099"/>
    <n v="0"/>
    <n v="0.95"/>
    <n v="4E+20"/>
    <n v="8.2035961677996099"/>
    <n v="8.2035961677996099"/>
    <n v="0"/>
    <n v="22.515781837405001"/>
    <n v="271"/>
    <n v="2E+20"/>
    <n v="1"/>
    <n v="1"/>
  </r>
  <r>
    <x v="0"/>
    <s v="2026-02-25 14:52:51"/>
    <n v="1"/>
    <x v="3"/>
    <x v="0"/>
    <x v="0"/>
    <n v="6.8665311473639603"/>
    <n v="2E+20"/>
    <n v="0"/>
    <n v="20.178710063954401"/>
    <n v="256"/>
    <s v="Unnamed ProjectBegar Truck Brygga 4.QueueWaiting TimeQueue"/>
    <n v="1"/>
    <n v="6.8665311473639603"/>
    <n v="0"/>
    <n v="0.95"/>
    <n v="4E+20"/>
    <n v="6.8665311473639603"/>
    <n v="6.8665311473639603"/>
    <n v="0"/>
    <n v="20.178710063954401"/>
    <n v="256"/>
    <n v="2E+20"/>
    <n v="1"/>
    <n v="1"/>
  </r>
  <r>
    <x v="0"/>
    <s v="2026-02-25 14:52:51"/>
    <n v="1"/>
    <x v="4"/>
    <x v="0"/>
    <x v="0"/>
    <n v="7.2231353782688599"/>
    <n v="2E+20"/>
    <n v="0"/>
    <n v="22.286412168867098"/>
    <n v="208"/>
    <s v="Unnamed ProjectBegar Truck Brygga 5.QueueWaiting TimeQueue"/>
    <n v="1"/>
    <n v="7.2231353782688599"/>
    <n v="0"/>
    <n v="0.95"/>
    <n v="4E+20"/>
    <n v="7.2231353782688599"/>
    <n v="7.2231353782688599"/>
    <n v="0"/>
    <n v="22.286412168867098"/>
    <n v="208"/>
    <n v="2E+20"/>
    <n v="1"/>
    <n v="1"/>
  </r>
  <r>
    <x v="0"/>
    <s v="2026-02-25 14:52:51"/>
    <n v="1"/>
    <x v="5"/>
    <x v="1"/>
    <x v="1"/>
    <n v="0"/>
    <n v="2E+20"/>
    <n v="0"/>
    <n v="0"/>
    <n v="79"/>
    <s v="Unnamed ProjectLastbilNVA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5"/>
    <x v="2"/>
    <x v="1"/>
    <n v="0"/>
    <n v="2E+20"/>
    <n v="0"/>
    <n v="0"/>
    <n v="79"/>
    <s v="Unnamed ProjectLastbilOther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5"/>
    <x v="3"/>
    <x v="1"/>
    <n v="0"/>
    <n v="2E+20"/>
    <n v="0"/>
    <n v="0"/>
    <n v="79"/>
    <s v="Unnamed ProjectLastbilTotal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5"/>
    <x v="4"/>
    <x v="1"/>
    <n v="0"/>
    <n v="2E+20"/>
    <n v="0"/>
    <n v="0"/>
    <n v="79"/>
    <s v="Unnamed ProjectLastbilTransfer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5"/>
    <x v="5"/>
    <x v="1"/>
    <n v="0"/>
    <n v="2E+20"/>
    <n v="0"/>
    <n v="0"/>
    <n v="79"/>
    <s v="Unnamed ProjectLastbilVA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5"/>
    <x v="6"/>
    <x v="1"/>
    <n v="0"/>
    <n v="2E+20"/>
    <n v="0"/>
    <n v="0"/>
    <n v="79"/>
    <s v="Unnamed ProjectLastbilWait TimeEntity"/>
    <n v="1"/>
    <n v="0"/>
    <n v="0"/>
    <n v="0.95"/>
    <n v="4E+20"/>
    <n v="0"/>
    <n v="0"/>
    <n v="0"/>
    <n v="0"/>
    <n v="79"/>
    <n v="2E+20"/>
    <n v="1"/>
    <n v="1"/>
  </r>
  <r>
    <x v="0"/>
    <s v="2026-02-25 14:52:51"/>
    <n v="1"/>
    <x v="6"/>
    <x v="1"/>
    <x v="1"/>
    <n v="0"/>
    <n v="0"/>
    <n v="0"/>
    <n v="0"/>
    <n v="1167"/>
    <s v="Unnamed ProjectPallNVA TimeEntity"/>
    <n v="1"/>
    <n v="0"/>
    <n v="0"/>
    <n v="0.95"/>
    <n v="4E+20"/>
    <n v="0"/>
    <n v="0"/>
    <n v="0"/>
    <n v="0"/>
    <n v="1167"/>
    <n v="0"/>
    <n v="1"/>
    <n v="1"/>
  </r>
  <r>
    <x v="0"/>
    <s v="2026-02-25 14:52:51"/>
    <n v="1"/>
    <x v="6"/>
    <x v="2"/>
    <x v="1"/>
    <n v="0.34902333725011597"/>
    <n v="1.72824718010352E-3"/>
    <n v="0.30012884671498302"/>
    <n v="0.39966765265691601"/>
    <n v="1167"/>
    <s v="Unnamed ProjectPallOther TimeEntity"/>
    <n v="1"/>
    <n v="0.34902333725011597"/>
    <n v="0"/>
    <n v="0.95"/>
    <n v="4E+20"/>
    <n v="0.34902333725011597"/>
    <n v="0.34902333725011597"/>
    <n v="0.30012884671498302"/>
    <n v="0.39966765265691601"/>
    <n v="1167"/>
    <n v="1.72824718010352E-3"/>
    <n v="1"/>
    <n v="1"/>
  </r>
  <r>
    <x v="0"/>
    <s v="2026-02-25 14:52:51"/>
    <n v="1"/>
    <x v="6"/>
    <x v="3"/>
    <x v="1"/>
    <n v="10.2367287397184"/>
    <n v="1.35471070026181"/>
    <n v="0.66436860247199503"/>
    <n v="27.3215534804695"/>
    <n v="1167"/>
    <s v="Unnamed ProjectPallTotal TimeEntity"/>
    <n v="1"/>
    <n v="10.2367287397184"/>
    <n v="0"/>
    <n v="0.95"/>
    <n v="4E+20"/>
    <n v="10.2367287397184"/>
    <n v="10.2367287397184"/>
    <n v="0.66436860247199503"/>
    <n v="27.3215534804695"/>
    <n v="1167"/>
    <n v="1.35471070026181"/>
    <n v="1"/>
    <n v="1"/>
  </r>
  <r>
    <x v="0"/>
    <s v="2026-02-25 14:52:51"/>
    <n v="1"/>
    <x v="6"/>
    <x v="4"/>
    <x v="1"/>
    <n v="0.946735218508998"/>
    <n v="2.4728860581008E-2"/>
    <n v="1.33333333333212E-2"/>
    <n v="1.00000000000001"/>
    <n v="1167"/>
    <s v="Unnamed ProjectPallTransfer TimeEntity"/>
    <n v="1"/>
    <n v="0.946735218508998"/>
    <n v="0"/>
    <n v="0.95"/>
    <n v="4E+20"/>
    <n v="0.946735218508998"/>
    <n v="0.946735218508998"/>
    <n v="1.33333333333212E-2"/>
    <n v="1.00000000000001"/>
    <n v="1167"/>
    <n v="2.4728860581008E-2"/>
    <n v="1"/>
    <n v="1"/>
  </r>
  <r>
    <x v="0"/>
    <s v="2026-02-25 14:52:51"/>
    <n v="1"/>
    <x v="6"/>
    <x v="5"/>
    <x v="1"/>
    <n v="0.29749950906162598"/>
    <n v="3.4376355902622298E-3"/>
    <n v="0.20028332617580699"/>
    <n v="0.39971401792490702"/>
    <n v="1167"/>
    <s v="Unnamed ProjectPallVA TimeEntity"/>
    <n v="1"/>
    <n v="0.29749950906162598"/>
    <n v="0"/>
    <n v="0.95"/>
    <n v="4E+20"/>
    <n v="0.29749950906162598"/>
    <n v="0.29749950906162598"/>
    <n v="0.20028332617580699"/>
    <n v="0.39971401792490702"/>
    <n v="1167"/>
    <n v="3.4376355902622298E-3"/>
    <n v="1"/>
    <n v="1"/>
  </r>
  <r>
    <x v="0"/>
    <s v="2026-02-25 14:52:51"/>
    <n v="1"/>
    <x v="6"/>
    <x v="6"/>
    <x v="1"/>
    <n v="8.6434706748977099"/>
    <n v="1.35037425505024"/>
    <n v="1.33333333333212E-2"/>
    <n v="25.585459384109701"/>
    <n v="1167"/>
    <s v="Unnamed ProjectPallWait TimeEntity"/>
    <n v="1"/>
    <n v="8.6434706748977099"/>
    <n v="0"/>
    <n v="0.95"/>
    <n v="4E+20"/>
    <n v="8.6434706748977099"/>
    <n v="8.6434706748977099"/>
    <n v="1.33333333333212E-2"/>
    <n v="25.585459384109701"/>
    <n v="1167"/>
    <n v="1.35037425505024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6-02-25 14:52:51"/>
    <n v="1"/>
    <x v="0"/>
    <x v="0"/>
    <x v="0"/>
    <n v="1264"/>
    <n v="0"/>
    <s v="Unnamed ProjectLastbil.NumberInNumber InEntity"/>
    <n v="1"/>
    <n v="1264"/>
    <n v="0"/>
    <n v="0.95"/>
    <n v="4E+20"/>
    <n v="1264"/>
    <n v="1264"/>
  </r>
  <r>
    <x v="0"/>
    <s v="2026-02-25 14:52:51"/>
    <n v="1"/>
    <x v="1"/>
    <x v="1"/>
    <x v="0"/>
    <n v="1264"/>
    <n v="0"/>
    <s v="Unnamed ProjectLastbil.NumberOutNumber OutEntity"/>
    <n v="1"/>
    <n v="1264"/>
    <n v="0"/>
    <n v="0.95"/>
    <n v="4E+20"/>
    <n v="1264"/>
    <n v="1264"/>
  </r>
  <r>
    <x v="0"/>
    <s v="2026-02-25 14:52:51"/>
    <n v="1"/>
    <x v="2"/>
    <x v="0"/>
    <x v="0"/>
    <n v="1185"/>
    <n v="0"/>
    <s v="Unnamed ProjectPall.NumberInNumber InEntity"/>
    <n v="1"/>
    <n v="1185"/>
    <n v="0"/>
    <n v="0.95"/>
    <n v="4E+20"/>
    <n v="1185"/>
    <n v="1185"/>
  </r>
  <r>
    <x v="0"/>
    <s v="2026-02-25 14:52:51"/>
    <n v="1"/>
    <x v="3"/>
    <x v="1"/>
    <x v="0"/>
    <n v="1167"/>
    <n v="0"/>
    <s v="Unnamed ProjectPall.NumberOutNumber OutEntity"/>
    <n v="1"/>
    <n v="1167"/>
    <n v="0"/>
    <n v="0.95"/>
    <n v="4E+20"/>
    <n v="1167"/>
    <n v="1167"/>
  </r>
  <r>
    <x v="0"/>
    <s v="2026-02-25 14:52:51"/>
    <n v="1"/>
    <x v="4"/>
    <x v="1"/>
    <x v="1"/>
    <n v="1246"/>
    <n v="0"/>
    <s v="Unnamed ProjectSystem.NumberOutNumber OutSystem"/>
    <n v="1"/>
    <n v="1246"/>
    <n v="0"/>
    <n v="0.95"/>
    <n v="4E+20"/>
    <n v="1246"/>
    <n v="12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6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6">
        <item m="1" x="17"/>
        <item m="1" x="40"/>
        <item m="1" x="12"/>
        <item m="1" x="92"/>
        <item m="1" x="75"/>
        <item m="1" x="45"/>
        <item m="1" x="101"/>
        <item m="1" x="33"/>
        <item m="1" x="37"/>
        <item m="1" x="104"/>
        <item m="1" x="70"/>
        <item m="1" x="82"/>
        <item m="1" x="87"/>
        <item m="1" x="11"/>
        <item m="1" x="39"/>
        <item m="1" x="29"/>
        <item m="1" x="105"/>
        <item m="1" x="99"/>
        <item m="1" x="27"/>
        <item m="1" x="21"/>
        <item m="1" x="93"/>
        <item m="1" x="13"/>
        <item m="1" x="46"/>
        <item m="1" x="32"/>
        <item m="1" x="57"/>
        <item m="1" x="84"/>
        <item m="1" x="48"/>
        <item m="1" x="18"/>
        <item m="1" x="42"/>
        <item m="1" x="71"/>
        <item m="1" x="61"/>
        <item m="1" x="19"/>
        <item m="1" x="78"/>
        <item m="1" x="10"/>
        <item m="1" x="98"/>
        <item m="1" x="66"/>
        <item m="1" x="86"/>
        <item m="1" x="41"/>
        <item m="1" x="100"/>
        <item m="1" x="69"/>
        <item m="1" x="23"/>
        <item m="1" x="60"/>
        <item m="1" x="74"/>
        <item m="1" x="85"/>
        <item m="1" x="91"/>
        <item m="1" x="9"/>
        <item m="1" x="22"/>
        <item m="1" x="31"/>
        <item m="1" x="24"/>
        <item m="1" x="8"/>
        <item m="1" x="83"/>
        <item m="1" x="95"/>
        <item m="1" x="35"/>
        <item m="1" x="65"/>
        <item m="1" x="26"/>
        <item m="1" x="43"/>
        <item m="1" x="30"/>
        <item m="1" x="51"/>
        <item m="1" x="38"/>
        <item m="1" x="58"/>
        <item m="1" x="44"/>
        <item m="1" x="67"/>
        <item m="1" x="52"/>
        <item m="1" x="72"/>
        <item m="1" x="59"/>
        <item m="1" x="80"/>
        <item m="1" x="73"/>
        <item m="1" x="88"/>
        <item m="1" x="96"/>
        <item m="1" x="76"/>
        <item m="1" x="55"/>
        <item m="1" x="36"/>
        <item m="1" x="49"/>
        <item m="1" x="20"/>
        <item m="1" x="25"/>
        <item m="1" x="34"/>
        <item m="1" x="62"/>
        <item m="1" x="97"/>
        <item m="1" x="90"/>
        <item m="1" x="77"/>
        <item m="1" x="50"/>
        <item m="1" x="63"/>
        <item m="1" x="54"/>
        <item m="1" x="79"/>
        <item m="1" x="64"/>
        <item m="1" x="47"/>
        <item m="1" x="53"/>
        <item m="1" x="16"/>
        <item m="1" x="56"/>
        <item m="1" x="68"/>
        <item m="1" x="81"/>
        <item m="1" x="89"/>
        <item m="1" x="94"/>
        <item m="1" x="103"/>
        <item m="1" x="14"/>
        <item m="1" x="28"/>
        <item m="1" x="102"/>
        <item m="1" x="15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7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8" tableType="queryTable" totalsRowShown="0">
  <autoFilter ref="A1:Y18" xr:uid="{C3D003CA-1AFF-426C-A03D-D3AF5760DF1A}"/>
  <sortState xmlns:xlrd2="http://schemas.microsoft.com/office/spreadsheetml/2017/richdata2" ref="A2:Y18">
    <sortCondition ref="D1:D1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2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1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0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39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38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37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6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5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4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3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2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1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0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29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1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1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1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9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8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7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6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2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73.81640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720</v>
      </c>
      <c r="G2">
        <f>0.95</f>
        <v>0.95</v>
      </c>
    </row>
  </sheetData>
  <phoneticPr fontId="2" type="noConversion"/>
  <conditionalFormatting sqref="D2">
    <cfRule type="expression" dxfId="55" priority="1">
      <formula>D2=3</formula>
    </cfRule>
    <cfRule type="expression" dxfId="54" priority="2">
      <formula>D2=2</formula>
    </cfRule>
    <cfRule type="expression" dxfId="53" priority="3">
      <formula>D2=1</formula>
    </cfRule>
    <cfRule type="expression" dxfId="5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8.0903595406276807</v>
      </c>
      <c r="F3" s="5">
        <v>1</v>
      </c>
      <c r="G3" s="5">
        <v>2E+20</v>
      </c>
      <c r="H3" s="5">
        <v>0</v>
      </c>
      <c r="I3" s="5">
        <v>8.0903595406276807</v>
      </c>
      <c r="J3" s="5">
        <v>8.0903595406276807</v>
      </c>
      <c r="K3" s="5">
        <v>0</v>
      </c>
      <c r="L3" s="5">
        <v>22.977582290469499</v>
      </c>
      <c r="M3" s="5">
        <v>217</v>
      </c>
      <c r="O3" t="s">
        <v>66</v>
      </c>
      <c r="P3" t="s">
        <v>70</v>
      </c>
      <c r="Q3" t="s">
        <v>86</v>
      </c>
      <c r="R3" t="s">
        <v>72</v>
      </c>
      <c r="S3" s="5">
        <v>2.4805368708209001</v>
      </c>
      <c r="T3" s="5">
        <v>2E+20</v>
      </c>
      <c r="U3" s="5">
        <v>0</v>
      </c>
      <c r="V3" s="5">
        <v>2.4805368708209001</v>
      </c>
      <c r="W3" s="5">
        <v>2.4805368708209001</v>
      </c>
      <c r="X3" s="5">
        <v>0</v>
      </c>
      <c r="Y3" s="5">
        <v>20</v>
      </c>
      <c r="AA3" t="s">
        <v>96</v>
      </c>
      <c r="AB3" t="s">
        <v>96</v>
      </c>
      <c r="AC3" t="s">
        <v>96</v>
      </c>
      <c r="AD3" t="s">
        <v>96</v>
      </c>
      <c r="AE3" s="5"/>
      <c r="AF3" s="5"/>
      <c r="AG3" s="5"/>
      <c r="AH3" s="5"/>
      <c r="AI3" s="5"/>
      <c r="AK3" t="s">
        <v>66</v>
      </c>
      <c r="AL3" t="s">
        <v>94</v>
      </c>
      <c r="AM3" t="s">
        <v>91</v>
      </c>
      <c r="AN3" t="s">
        <v>95</v>
      </c>
      <c r="AO3" s="5">
        <v>1246</v>
      </c>
      <c r="AP3" s="5">
        <v>4E+20</v>
      </c>
      <c r="AQ3" s="5">
        <v>0</v>
      </c>
      <c r="AR3" s="5">
        <v>1246</v>
      </c>
      <c r="AS3" s="5">
        <v>1246</v>
      </c>
      <c r="AU3" t="s">
        <v>96</v>
      </c>
      <c r="AV3" t="s">
        <v>96</v>
      </c>
      <c r="AW3" t="s">
        <v>96</v>
      </c>
      <c r="AX3" t="s">
        <v>96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8.0680687415102295</v>
      </c>
      <c r="F4" s="5">
        <v>1</v>
      </c>
      <c r="G4" s="5">
        <v>2E+20</v>
      </c>
      <c r="H4" s="5">
        <v>0</v>
      </c>
      <c r="I4" s="5">
        <v>8.0680687415102295</v>
      </c>
      <c r="J4" s="5">
        <v>8.0680687415102295</v>
      </c>
      <c r="K4" s="5">
        <v>0</v>
      </c>
      <c r="L4" s="5">
        <v>24.585459384109701</v>
      </c>
      <c r="M4" s="5">
        <v>220</v>
      </c>
      <c r="P4" t="s">
        <v>73</v>
      </c>
      <c r="Q4" t="s">
        <v>86</v>
      </c>
      <c r="R4" t="s">
        <v>72</v>
      </c>
      <c r="S4" s="5">
        <v>2.4652432265725701</v>
      </c>
      <c r="T4" s="5">
        <v>2E+20</v>
      </c>
      <c r="U4" s="5">
        <v>0</v>
      </c>
      <c r="V4" s="5">
        <v>2.4652432265725701</v>
      </c>
      <c r="W4" s="5">
        <v>2.4652432265725701</v>
      </c>
      <c r="X4" s="5">
        <v>0</v>
      </c>
      <c r="Y4" s="5">
        <v>20</v>
      </c>
      <c r="AL4" t="s">
        <v>88</v>
      </c>
      <c r="AM4" t="s">
        <v>89</v>
      </c>
      <c r="AN4" t="s">
        <v>79</v>
      </c>
      <c r="AO4" s="5">
        <v>1264</v>
      </c>
      <c r="AP4" s="5">
        <v>4E+20</v>
      </c>
      <c r="AQ4" s="5">
        <v>0</v>
      </c>
      <c r="AR4" s="5">
        <v>1264</v>
      </c>
      <c r="AS4" s="5">
        <v>1264</v>
      </c>
    </row>
    <row r="5" spans="1:52" x14ac:dyDescent="0.35">
      <c r="B5" t="s">
        <v>74</v>
      </c>
      <c r="C5" t="s">
        <v>71</v>
      </c>
      <c r="D5" t="s">
        <v>72</v>
      </c>
      <c r="E5" s="5">
        <v>8.2035961677996099</v>
      </c>
      <c r="F5" s="5">
        <v>1</v>
      </c>
      <c r="G5" s="5">
        <v>2E+20</v>
      </c>
      <c r="H5" s="5">
        <v>0</v>
      </c>
      <c r="I5" s="5">
        <v>8.2035961677996099</v>
      </c>
      <c r="J5" s="5">
        <v>8.2035961677996099</v>
      </c>
      <c r="K5" s="5">
        <v>0</v>
      </c>
      <c r="L5" s="5">
        <v>22.515781837405001</v>
      </c>
      <c r="M5" s="5">
        <v>271</v>
      </c>
      <c r="P5" t="s">
        <v>74</v>
      </c>
      <c r="Q5" t="s">
        <v>86</v>
      </c>
      <c r="R5" t="s">
        <v>72</v>
      </c>
      <c r="S5" s="5">
        <v>3.0877424464912502</v>
      </c>
      <c r="T5" s="5">
        <v>2E+20</v>
      </c>
      <c r="U5" s="5">
        <v>0</v>
      </c>
      <c r="V5" s="5">
        <v>3.0877424464912502</v>
      </c>
      <c r="W5" s="5">
        <v>3.0877424464912502</v>
      </c>
      <c r="X5" s="5">
        <v>0</v>
      </c>
      <c r="Y5" s="5">
        <v>20</v>
      </c>
      <c r="AL5" t="s">
        <v>90</v>
      </c>
      <c r="AM5" t="s">
        <v>91</v>
      </c>
      <c r="AN5" t="s">
        <v>79</v>
      </c>
      <c r="AO5" s="5">
        <v>1264</v>
      </c>
      <c r="AP5" s="5">
        <v>4E+20</v>
      </c>
      <c r="AQ5" s="5">
        <v>0</v>
      </c>
      <c r="AR5" s="5">
        <v>1264</v>
      </c>
      <c r="AS5" s="5">
        <v>1264</v>
      </c>
    </row>
    <row r="6" spans="1:52" x14ac:dyDescent="0.35">
      <c r="B6" t="s">
        <v>75</v>
      </c>
      <c r="C6" t="s">
        <v>71</v>
      </c>
      <c r="D6" t="s">
        <v>72</v>
      </c>
      <c r="E6" s="5">
        <v>6.8665311473639603</v>
      </c>
      <c r="F6" s="5">
        <v>1</v>
      </c>
      <c r="G6" s="5">
        <v>2E+20</v>
      </c>
      <c r="H6" s="5">
        <v>0</v>
      </c>
      <c r="I6" s="5">
        <v>6.8665311473639603</v>
      </c>
      <c r="J6" s="5">
        <v>6.8665311473639603</v>
      </c>
      <c r="K6" s="5">
        <v>0</v>
      </c>
      <c r="L6" s="5">
        <v>20.178710063954401</v>
      </c>
      <c r="M6" s="5">
        <v>256</v>
      </c>
      <c r="P6" t="s">
        <v>75</v>
      </c>
      <c r="Q6" t="s">
        <v>86</v>
      </c>
      <c r="R6" t="s">
        <v>72</v>
      </c>
      <c r="S6" s="5">
        <v>2.4414332968405201</v>
      </c>
      <c r="T6" s="5">
        <v>2E+20</v>
      </c>
      <c r="U6" s="5">
        <v>0</v>
      </c>
      <c r="V6" s="5">
        <v>2.4414332968405201</v>
      </c>
      <c r="W6" s="5">
        <v>2.4414332968405201</v>
      </c>
      <c r="X6" s="5">
        <v>0</v>
      </c>
      <c r="Y6" s="5">
        <v>21</v>
      </c>
      <c r="AL6" t="s">
        <v>92</v>
      </c>
      <c r="AM6" t="s">
        <v>89</v>
      </c>
      <c r="AN6" t="s">
        <v>79</v>
      </c>
      <c r="AO6" s="5">
        <v>1185</v>
      </c>
      <c r="AP6" s="5">
        <v>4E+20</v>
      </c>
      <c r="AQ6" s="5">
        <v>0</v>
      </c>
      <c r="AR6" s="5">
        <v>1185</v>
      </c>
      <c r="AS6" s="5">
        <v>1185</v>
      </c>
    </row>
    <row r="7" spans="1:52" x14ac:dyDescent="0.35">
      <c r="B7" t="s">
        <v>76</v>
      </c>
      <c r="C7" t="s">
        <v>71</v>
      </c>
      <c r="D7" t="s">
        <v>72</v>
      </c>
      <c r="E7" s="5">
        <v>7.2231353782688599</v>
      </c>
      <c r="F7" s="5">
        <v>1</v>
      </c>
      <c r="G7" s="5">
        <v>2E+20</v>
      </c>
      <c r="H7" s="5">
        <v>0</v>
      </c>
      <c r="I7" s="5">
        <v>7.2231353782688599</v>
      </c>
      <c r="J7" s="5">
        <v>7.2231353782688599</v>
      </c>
      <c r="K7" s="5">
        <v>0</v>
      </c>
      <c r="L7" s="5">
        <v>22.286412168867098</v>
      </c>
      <c r="M7" s="5">
        <v>208</v>
      </c>
      <c r="P7" t="s">
        <v>76</v>
      </c>
      <c r="Q7" t="s">
        <v>86</v>
      </c>
      <c r="R7" t="s">
        <v>72</v>
      </c>
      <c r="S7" s="5">
        <v>2.08668355372212</v>
      </c>
      <c r="T7" s="5">
        <v>2E+20</v>
      </c>
      <c r="U7" s="5">
        <v>0</v>
      </c>
      <c r="V7" s="5">
        <v>2.08668355372212</v>
      </c>
      <c r="W7" s="5">
        <v>2.08668355372212</v>
      </c>
      <c r="X7" s="5">
        <v>0</v>
      </c>
      <c r="Y7" s="5">
        <v>20</v>
      </c>
      <c r="AL7" t="s">
        <v>93</v>
      </c>
      <c r="AM7" t="s">
        <v>91</v>
      </c>
      <c r="AN7" t="s">
        <v>79</v>
      </c>
      <c r="AO7" s="5">
        <v>1167</v>
      </c>
      <c r="AP7" s="5">
        <v>4E+20</v>
      </c>
      <c r="AQ7" s="5">
        <v>0</v>
      </c>
      <c r="AR7" s="5">
        <v>1167</v>
      </c>
      <c r="AS7" s="5">
        <v>1167</v>
      </c>
    </row>
    <row r="8" spans="1:52" x14ac:dyDescent="0.35">
      <c r="B8" t="s">
        <v>77</v>
      </c>
      <c r="C8" t="s">
        <v>78</v>
      </c>
      <c r="D8" t="s">
        <v>79</v>
      </c>
      <c r="E8" s="5">
        <v>0</v>
      </c>
      <c r="F8" s="5">
        <v>1</v>
      </c>
      <c r="G8" s="5">
        <v>2E+20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79</v>
      </c>
      <c r="P8" t="s">
        <v>77</v>
      </c>
      <c r="Q8" t="s">
        <v>87</v>
      </c>
      <c r="R8" t="s">
        <v>79</v>
      </c>
      <c r="S8" s="5">
        <v>0</v>
      </c>
      <c r="T8" s="5">
        <v>2E+20</v>
      </c>
      <c r="U8" s="5">
        <v>0</v>
      </c>
      <c r="V8" s="5">
        <v>0</v>
      </c>
      <c r="W8" s="5">
        <v>0</v>
      </c>
      <c r="X8" s="5">
        <v>0</v>
      </c>
      <c r="Y8" s="5">
        <v>22</v>
      </c>
    </row>
    <row r="9" spans="1:52" x14ac:dyDescent="0.35">
      <c r="C9" t="s">
        <v>80</v>
      </c>
      <c r="D9" t="s">
        <v>79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79</v>
      </c>
      <c r="P9" t="s">
        <v>85</v>
      </c>
      <c r="Q9" t="s">
        <v>87</v>
      </c>
      <c r="R9" t="s">
        <v>79</v>
      </c>
      <c r="S9" s="5">
        <v>16.671342082261098</v>
      </c>
      <c r="T9" s="5">
        <v>3.9726202244818198</v>
      </c>
      <c r="U9" s="5">
        <v>0</v>
      </c>
      <c r="V9" s="5">
        <v>16.671342082261098</v>
      </c>
      <c r="W9" s="5">
        <v>16.671342082261098</v>
      </c>
      <c r="X9" s="5">
        <v>0</v>
      </c>
      <c r="Y9" s="5">
        <v>58</v>
      </c>
    </row>
    <row r="10" spans="1:52" x14ac:dyDescent="0.35">
      <c r="C10" t="s">
        <v>81</v>
      </c>
      <c r="D10" t="s">
        <v>79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79</v>
      </c>
    </row>
    <row r="11" spans="1:52" x14ac:dyDescent="0.35">
      <c r="C11" t="s">
        <v>82</v>
      </c>
      <c r="D11" t="s">
        <v>79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79</v>
      </c>
    </row>
    <row r="12" spans="1:52" x14ac:dyDescent="0.35">
      <c r="C12" t="s">
        <v>83</v>
      </c>
      <c r="D12" t="s">
        <v>79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79</v>
      </c>
    </row>
    <row r="13" spans="1:52" x14ac:dyDescent="0.35">
      <c r="C13" t="s">
        <v>84</v>
      </c>
      <c r="D13" t="s">
        <v>79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79</v>
      </c>
    </row>
    <row r="14" spans="1:52" x14ac:dyDescent="0.35">
      <c r="B14" t="s">
        <v>85</v>
      </c>
      <c r="C14" t="s">
        <v>78</v>
      </c>
      <c r="D14" t="s">
        <v>79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1167</v>
      </c>
    </row>
    <row r="15" spans="1:52" x14ac:dyDescent="0.35">
      <c r="C15" t="s">
        <v>80</v>
      </c>
      <c r="D15" t="s">
        <v>79</v>
      </c>
      <c r="E15" s="5">
        <v>0.34902333725011597</v>
      </c>
      <c r="F15" s="5">
        <v>1</v>
      </c>
      <c r="G15" s="5">
        <v>1.72824718010352E-3</v>
      </c>
      <c r="H15" s="5">
        <v>0</v>
      </c>
      <c r="I15" s="5">
        <v>0.34902333725011597</v>
      </c>
      <c r="J15" s="5">
        <v>0.34902333725011597</v>
      </c>
      <c r="K15" s="5">
        <v>0.30012884671498302</v>
      </c>
      <c r="L15" s="5">
        <v>0.39966765265691601</v>
      </c>
      <c r="M15" s="5">
        <v>1167</v>
      </c>
    </row>
    <row r="16" spans="1:52" x14ac:dyDescent="0.35">
      <c r="C16" t="s">
        <v>81</v>
      </c>
      <c r="D16" t="s">
        <v>79</v>
      </c>
      <c r="E16" s="5">
        <v>10.2367287397184</v>
      </c>
      <c r="F16" s="5">
        <v>1</v>
      </c>
      <c r="G16" s="5">
        <v>1.35471070026181</v>
      </c>
      <c r="H16" s="5">
        <v>0</v>
      </c>
      <c r="I16" s="5">
        <v>10.2367287397184</v>
      </c>
      <c r="J16" s="5">
        <v>10.2367287397184</v>
      </c>
      <c r="K16" s="5">
        <v>0.66436860247199503</v>
      </c>
      <c r="L16" s="5">
        <v>27.3215534804695</v>
      </c>
      <c r="M16" s="5">
        <v>1167</v>
      </c>
    </row>
    <row r="17" spans="3:13" x14ac:dyDescent="0.35">
      <c r="C17" t="s">
        <v>82</v>
      </c>
      <c r="D17" t="s">
        <v>79</v>
      </c>
      <c r="E17" s="5">
        <v>0.946735218508998</v>
      </c>
      <c r="F17" s="5">
        <v>1</v>
      </c>
      <c r="G17" s="5">
        <v>2.4728860581008E-2</v>
      </c>
      <c r="H17" s="5">
        <v>0</v>
      </c>
      <c r="I17" s="5">
        <v>0.946735218508998</v>
      </c>
      <c r="J17" s="5">
        <v>0.946735218508998</v>
      </c>
      <c r="K17" s="5">
        <v>1.33333333333212E-2</v>
      </c>
      <c r="L17" s="5">
        <v>1.00000000000001</v>
      </c>
      <c r="M17" s="5">
        <v>1167</v>
      </c>
    </row>
    <row r="18" spans="3:13" x14ac:dyDescent="0.35">
      <c r="C18" t="s">
        <v>83</v>
      </c>
      <c r="D18" t="s">
        <v>79</v>
      </c>
      <c r="E18" s="5">
        <v>0.29749950906162598</v>
      </c>
      <c r="F18" s="5">
        <v>1</v>
      </c>
      <c r="G18" s="5">
        <v>3.4376355902622298E-3</v>
      </c>
      <c r="H18" s="5">
        <v>0</v>
      </c>
      <c r="I18" s="5">
        <v>0.29749950906162598</v>
      </c>
      <c r="J18" s="5">
        <v>0.29749950906162598</v>
      </c>
      <c r="K18" s="5">
        <v>0.20028332617580699</v>
      </c>
      <c r="L18" s="5">
        <v>0.39971401792490702</v>
      </c>
      <c r="M18" s="5">
        <v>1167</v>
      </c>
    </row>
    <row r="19" spans="3:13" x14ac:dyDescent="0.35">
      <c r="C19" t="s">
        <v>84</v>
      </c>
      <c r="D19" t="s">
        <v>79</v>
      </c>
      <c r="E19" s="5">
        <v>8.6434706748977099</v>
      </c>
      <c r="F19" s="5">
        <v>1</v>
      </c>
      <c r="G19" s="5">
        <v>1.35037425505024</v>
      </c>
      <c r="H19" s="5">
        <v>0</v>
      </c>
      <c r="I19" s="5">
        <v>8.6434706748977099</v>
      </c>
      <c r="J19" s="5">
        <v>8.6434706748977099</v>
      </c>
      <c r="K19" s="5">
        <v>1.33333333333212E-2</v>
      </c>
      <c r="L19" s="5">
        <v>25.585459384109701</v>
      </c>
      <c r="M19" s="5">
        <v>1167</v>
      </c>
    </row>
  </sheetData>
  <dataConsolidate/>
  <conditionalFormatting pivot="1" sqref="G3:G19">
    <cfRule type="expression" dxfId="67" priority="14">
      <formula>G3=200000000000000000000</formula>
    </cfRule>
  </conditionalFormatting>
  <conditionalFormatting pivot="1" sqref="T3:T9">
    <cfRule type="expression" dxfId="66" priority="13">
      <formula>T3=200000000000000000000</formula>
    </cfRule>
  </conditionalFormatting>
  <conditionalFormatting pivot="1" sqref="T3:T9">
    <cfRule type="expression" dxfId="65" priority="12">
      <formula>T3=300000000000000000000</formula>
    </cfRule>
  </conditionalFormatting>
  <conditionalFormatting pivot="1" sqref="G3:G19">
    <cfRule type="expression" dxfId="64" priority="11">
      <formula>G3=300000000000000000000</formula>
    </cfRule>
  </conditionalFormatting>
  <conditionalFormatting pivot="1" sqref="F3:F19">
    <cfRule type="expression" dxfId="63" priority="10">
      <formula>F3=0</formula>
    </cfRule>
  </conditionalFormatting>
  <conditionalFormatting pivot="1" sqref="F3:F19">
    <cfRule type="expression" dxfId="62" priority="9">
      <formula>F3=1</formula>
    </cfRule>
  </conditionalFormatting>
  <conditionalFormatting pivot="1" sqref="T3:T9">
    <cfRule type="expression" dxfId="61" priority="8">
      <formula>T3=400000000000000000000</formula>
    </cfRule>
  </conditionalFormatting>
  <conditionalFormatting pivot="1" sqref="AP3:AP7">
    <cfRule type="expression" dxfId="60" priority="7">
      <formula>AP3=400000000000000000000</formula>
    </cfRule>
  </conditionalFormatting>
  <conditionalFormatting pivot="1" sqref="AF3">
    <cfRule type="expression" dxfId="59" priority="6">
      <formula>AF3=400000000000000000000</formula>
    </cfRule>
  </conditionalFormatting>
  <conditionalFormatting pivot="1" sqref="G3:G19">
    <cfRule type="expression" dxfId="58" priority="5">
      <formula>G3=400000000000000000000</formula>
    </cfRule>
  </conditionalFormatting>
  <conditionalFormatting pivot="1" sqref="AZ3">
    <cfRule type="expression" dxfId="57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8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5.90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8.0903595406276807</v>
      </c>
      <c r="H2">
        <v>2E+20</v>
      </c>
      <c r="I2">
        <v>0</v>
      </c>
      <c r="J2">
        <v>22.977582290469499</v>
      </c>
      <c r="K2">
        <v>217</v>
      </c>
      <c r="L2" t="str">
        <f>DiscreteStatsTable[[#This Row],[ProjectName]]&amp;DiscreteStatsTable[[#This Row],[Name]]&amp;DiscreteStatsTable[[#This Row],[Type]]&amp;DiscreteStatsTable[[#This Row],[Source]]</f>
        <v>Unnamed ProjectBegar Truck Brygga 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8.0903595406276807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8.0903595406276807</v>
      </c>
      <c r="S2" cm="1">
        <f t="array" ref="S2">MAX(IF((DiscreteStatsTable[GroupByKey]=DiscreteStatsTable[[#This Row],[GroupByKey]]),(DiscreteStatsTable[GroupByKey]=DiscreteStatsTable[[#This Row],[GroupByKey]])*DiscreteStatsTable[Average]))</f>
        <v>8.0903595406276807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22.977582290469499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217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8.0680687415102295</v>
      </c>
      <c r="H3">
        <v>2E+20</v>
      </c>
      <c r="I3">
        <v>0</v>
      </c>
      <c r="J3">
        <v>24.585459384109701</v>
      </c>
      <c r="K3">
        <v>220</v>
      </c>
      <c r="L3" t="str">
        <f>DiscreteStatsTable[[#This Row],[ProjectName]]&amp;DiscreteStatsTable[[#This Row],[Name]]&amp;DiscreteStatsTable[[#This Row],[Type]]&amp;DiscreteStatsTable[[#This Row],[Source]]</f>
        <v>Unnamed ProjectBegar Truck Brygga 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8.0680687415102295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8.0680687415102295</v>
      </c>
      <c r="S3" cm="1">
        <f t="array" ref="S3">MAX(IF((DiscreteStatsTable[GroupByKey]=DiscreteStatsTable[[#This Row],[GroupByKey]]),(DiscreteStatsTable[GroupByKey]=DiscreteStatsTable[[#This Row],[GroupByKey]])*DiscreteStatsTable[Average]))</f>
        <v>8.0680687415102295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24.585459384109701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220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8.2035961677996099</v>
      </c>
      <c r="H4">
        <v>2E+20</v>
      </c>
      <c r="I4">
        <v>0</v>
      </c>
      <c r="J4">
        <v>22.515781837405001</v>
      </c>
      <c r="K4">
        <v>271</v>
      </c>
      <c r="L4" t="str">
        <f>DiscreteStatsTable[[#This Row],[ProjectName]]&amp;DiscreteStatsTable[[#This Row],[Name]]&amp;DiscreteStatsTable[[#This Row],[Type]]&amp;DiscreteStatsTable[[#This Row],[Source]]</f>
        <v>Unnamed ProjectBegar Truck Brygga 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8.2035961677996099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8.2035961677996099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8.2035961677996099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22.515781837405001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271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6.8665311473639603</v>
      </c>
      <c r="H5">
        <v>2E+20</v>
      </c>
      <c r="I5">
        <v>0</v>
      </c>
      <c r="J5">
        <v>20.178710063954401</v>
      </c>
      <c r="K5">
        <v>256</v>
      </c>
      <c r="L5" t="str">
        <f>DiscreteStatsTable[[#This Row],[ProjectName]]&amp;DiscreteStatsTable[[#This Row],[Name]]&amp;DiscreteStatsTable[[#This Row],[Type]]&amp;DiscreteStatsTable[[#This Row],[Source]]</f>
        <v>Unnamed ProjectBegar Truck Brygga 4.QueueWaiting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6.8665311473639603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6.8665311473639603</v>
      </c>
      <c r="S5" cm="1">
        <f t="array" ref="S5">MAX(IF((DiscreteStatsTable[GroupByKey]=DiscreteStatsTable[[#This Row],[GroupByKey]]),(DiscreteStatsTable[GroupByKey]=DiscreteStatsTable[[#This Row],[GroupByKey]])*DiscreteStatsTable[Average]))</f>
        <v>6.8665311473639603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20.178710063954401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256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7.2231353782688599</v>
      </c>
      <c r="H6">
        <v>2E+20</v>
      </c>
      <c r="I6">
        <v>0</v>
      </c>
      <c r="J6">
        <v>22.286412168867098</v>
      </c>
      <c r="K6">
        <v>208</v>
      </c>
      <c r="L6" t="str">
        <f>DiscreteStatsTable[[#This Row],[ProjectName]]&amp;DiscreteStatsTable[[#This Row],[Name]]&amp;DiscreteStatsTable[[#This Row],[Type]]&amp;DiscreteStatsTable[[#This Row],[Source]]</f>
        <v>Unnamed ProjectBegar Truck Brygga 5.QueueWaiting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7.2231353782688599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7.2231353782688599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7.2231353782688599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22.286412168867098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208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78</v>
      </c>
      <c r="F7" t="s">
        <v>79</v>
      </c>
      <c r="G7">
        <v>0</v>
      </c>
      <c r="H7">
        <v>2E+20</v>
      </c>
      <c r="I7">
        <v>0</v>
      </c>
      <c r="J7">
        <v>0</v>
      </c>
      <c r="K7">
        <v>79</v>
      </c>
      <c r="L7" t="str">
        <f>DiscreteStatsTable[[#This Row],[ProjectName]]&amp;DiscreteStatsTable[[#This Row],[Name]]&amp;DiscreteStatsTable[[#This Row],[Type]]&amp;DiscreteStatsTable[[#This Row],[Source]]</f>
        <v>Unnamed ProjectLastbilNVA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79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77</v>
      </c>
      <c r="E8" t="s">
        <v>80</v>
      </c>
      <c r="F8" t="s">
        <v>79</v>
      </c>
      <c r="G8">
        <v>0</v>
      </c>
      <c r="H8">
        <v>2E+20</v>
      </c>
      <c r="I8">
        <v>0</v>
      </c>
      <c r="J8">
        <v>0</v>
      </c>
      <c r="K8">
        <v>79</v>
      </c>
      <c r="L8" t="str">
        <f>DiscreteStatsTable[[#This Row],[ProjectName]]&amp;DiscreteStatsTable[[#This Row],[Name]]&amp;DiscreteStatsTable[[#This Row],[Type]]&amp;DiscreteStatsTable[[#This Row],[Source]]</f>
        <v>Unnamed ProjectLastbilOther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79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77</v>
      </c>
      <c r="E9" t="s">
        <v>81</v>
      </c>
      <c r="F9" t="s">
        <v>79</v>
      </c>
      <c r="G9">
        <v>0</v>
      </c>
      <c r="H9">
        <v>2E+20</v>
      </c>
      <c r="I9">
        <v>0</v>
      </c>
      <c r="J9">
        <v>0</v>
      </c>
      <c r="K9">
        <v>79</v>
      </c>
      <c r="L9" t="str">
        <f>DiscreteStatsTable[[#This Row],[ProjectName]]&amp;DiscreteStatsTable[[#This Row],[Name]]&amp;DiscreteStatsTable[[#This Row],[Type]]&amp;DiscreteStatsTable[[#This Row],[Source]]</f>
        <v>Unnamed ProjectLastbilTotal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79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77</v>
      </c>
      <c r="E10" t="s">
        <v>82</v>
      </c>
      <c r="F10" t="s">
        <v>79</v>
      </c>
      <c r="G10">
        <v>0</v>
      </c>
      <c r="H10">
        <v>2E+20</v>
      </c>
      <c r="I10">
        <v>0</v>
      </c>
      <c r="J10">
        <v>0</v>
      </c>
      <c r="K10">
        <v>79</v>
      </c>
      <c r="L10" t="str">
        <f>DiscreteStatsTable[[#This Row],[ProjectName]]&amp;DiscreteStatsTable[[#This Row],[Name]]&amp;DiscreteStatsTable[[#This Row],[Type]]&amp;DiscreteStatsTable[[#This Row],[Source]]</f>
        <v>Unnamed ProjectLastbilTransfer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79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77</v>
      </c>
      <c r="E11" t="s">
        <v>83</v>
      </c>
      <c r="F11" t="s">
        <v>79</v>
      </c>
      <c r="G11">
        <v>0</v>
      </c>
      <c r="H11">
        <v>2E+20</v>
      </c>
      <c r="I11">
        <v>0</v>
      </c>
      <c r="J11">
        <v>0</v>
      </c>
      <c r="K11">
        <v>79</v>
      </c>
      <c r="L11" t="str">
        <f>DiscreteStatsTable[[#This Row],[ProjectName]]&amp;DiscreteStatsTable[[#This Row],[Name]]&amp;DiscreteStatsTable[[#This Row],[Type]]&amp;DiscreteStatsTable[[#This Row],[Source]]</f>
        <v>Unnamed ProjectLastbilVA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79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77</v>
      </c>
      <c r="E12" t="s">
        <v>84</v>
      </c>
      <c r="F12" t="s">
        <v>79</v>
      </c>
      <c r="G12">
        <v>0</v>
      </c>
      <c r="H12">
        <v>2E+20</v>
      </c>
      <c r="I12">
        <v>0</v>
      </c>
      <c r="J12">
        <v>0</v>
      </c>
      <c r="K12">
        <v>79</v>
      </c>
      <c r="L12" t="str">
        <f>DiscreteStatsTable[[#This Row],[ProjectName]]&amp;DiscreteStatsTable[[#This Row],[Name]]&amp;DiscreteStatsTable[[#This Row],[Type]]&amp;DiscreteStatsTable[[#This Row],[Source]]</f>
        <v>Unnamed ProjectLastbilWait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79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85</v>
      </c>
      <c r="E13" t="s">
        <v>78</v>
      </c>
      <c r="F13" t="s">
        <v>79</v>
      </c>
      <c r="G13">
        <v>0</v>
      </c>
      <c r="H13">
        <v>0</v>
      </c>
      <c r="I13">
        <v>0</v>
      </c>
      <c r="J13">
        <v>0</v>
      </c>
      <c r="K13">
        <v>1167</v>
      </c>
      <c r="L13" t="str">
        <f>DiscreteStatsTable[[#This Row],[ProjectName]]&amp;DiscreteStatsTable[[#This Row],[Name]]&amp;DiscreteStatsTable[[#This Row],[Type]]&amp;DiscreteStatsTable[[#This Row],[Source]]</f>
        <v>Unnamed ProjectPallNVA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1167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85</v>
      </c>
      <c r="E14" t="s">
        <v>80</v>
      </c>
      <c r="F14" t="s">
        <v>79</v>
      </c>
      <c r="G14">
        <v>0.34902333725011597</v>
      </c>
      <c r="H14">
        <v>1.72824718010352E-3</v>
      </c>
      <c r="I14">
        <v>0.30012884671498302</v>
      </c>
      <c r="J14">
        <v>0.39966765265691601</v>
      </c>
      <c r="K14">
        <v>1167</v>
      </c>
      <c r="L14" t="str">
        <f>DiscreteStatsTable[[#This Row],[ProjectName]]&amp;DiscreteStatsTable[[#This Row],[Name]]&amp;DiscreteStatsTable[[#This Row],[Type]]&amp;DiscreteStatsTable[[#This Row],[Source]]</f>
        <v>Unnamed ProjectPallOther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0.34902333725011597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0.34902333725011597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0.34902333725011597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0.30012884671498302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0.39966765265691601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1167</v>
      </c>
      <c r="W14">
        <f>IF((DiscreteStatsTable[[#This Row],[RepsRequested]]&gt;1),DiscreteStatsTable[[#This Row],[HalfWidth]],DiscreteStatsTable[[#This Row],[BatchMeansHalfWidth]])</f>
        <v>1.72824718010352E-3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85</v>
      </c>
      <c r="E15" t="s">
        <v>81</v>
      </c>
      <c r="F15" t="s">
        <v>79</v>
      </c>
      <c r="G15">
        <v>10.2367287397184</v>
      </c>
      <c r="H15">
        <v>1.35471070026181</v>
      </c>
      <c r="I15">
        <v>0.66436860247199503</v>
      </c>
      <c r="J15">
        <v>27.3215534804695</v>
      </c>
      <c r="K15">
        <v>1167</v>
      </c>
      <c r="L15" t="str">
        <f>DiscreteStatsTable[[#This Row],[ProjectName]]&amp;DiscreteStatsTable[[#This Row],[Name]]&amp;DiscreteStatsTable[[#This Row],[Type]]&amp;DiscreteStatsTable[[#This Row],[Source]]</f>
        <v>Unnamed ProjectPallTotal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10.2367287397184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10.2367287397184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10.2367287397184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0.66436860247199503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27.3215534804695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1167</v>
      </c>
      <c r="W15">
        <f>IF((DiscreteStatsTable[[#This Row],[RepsRequested]]&gt;1),DiscreteStatsTable[[#This Row],[HalfWidth]],DiscreteStatsTable[[#This Row],[BatchMeansHalfWidth]])</f>
        <v>1.35471070026181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85</v>
      </c>
      <c r="E16" t="s">
        <v>82</v>
      </c>
      <c r="F16" t="s">
        <v>79</v>
      </c>
      <c r="G16">
        <v>0.946735218508998</v>
      </c>
      <c r="H16">
        <v>2.4728860581008E-2</v>
      </c>
      <c r="I16">
        <v>1.33333333333212E-2</v>
      </c>
      <c r="J16">
        <v>1.00000000000001</v>
      </c>
      <c r="K16">
        <v>1167</v>
      </c>
      <c r="L16" t="str">
        <f>DiscreteStatsTable[[#This Row],[ProjectName]]&amp;DiscreteStatsTable[[#This Row],[Name]]&amp;DiscreteStatsTable[[#This Row],[Type]]&amp;DiscreteStatsTable[[#This Row],[Source]]</f>
        <v>Unnamed ProjectPallTransfer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0.946735218508998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0.946735218508998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0.946735218508998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1.33333333333212E-2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1.00000000000001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1167</v>
      </c>
      <c r="W16">
        <f>IF((DiscreteStatsTable[[#This Row],[RepsRequested]]&gt;1),DiscreteStatsTable[[#This Row],[HalfWidth]],DiscreteStatsTable[[#This Row],[BatchMeansHalfWidth]])</f>
        <v>2.4728860581008E-2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</v>
      </c>
      <c r="D17" t="s">
        <v>85</v>
      </c>
      <c r="E17" t="s">
        <v>83</v>
      </c>
      <c r="F17" t="s">
        <v>79</v>
      </c>
      <c r="G17">
        <v>0.29749950906162598</v>
      </c>
      <c r="H17">
        <v>3.4376355902622298E-3</v>
      </c>
      <c r="I17">
        <v>0.20028332617580699</v>
      </c>
      <c r="J17">
        <v>0.39971401792490702</v>
      </c>
      <c r="K17">
        <v>1167</v>
      </c>
      <c r="L17" t="str">
        <f>DiscreteStatsTable[[#This Row],[ProjectName]]&amp;DiscreteStatsTable[[#This Row],[Name]]&amp;DiscreteStatsTable[[#This Row],[Type]]&amp;DiscreteStatsTable[[#This Row],[Source]]</f>
        <v>Unnamed ProjectPallVA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0.29749950906162598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0.29749950906162598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0.29749950906162598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0.20028332617580699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0.39971401792490702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1167</v>
      </c>
      <c r="W17">
        <f>IF((DiscreteStatsTable[[#This Row],[RepsRequested]]&gt;1),DiscreteStatsTable[[#This Row],[HalfWidth]],DiscreteStatsTable[[#This Row],[BatchMeansHalfWidth]])</f>
        <v>3.4376355902622298E-3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</v>
      </c>
      <c r="D18" t="s">
        <v>85</v>
      </c>
      <c r="E18" t="s">
        <v>84</v>
      </c>
      <c r="F18" t="s">
        <v>79</v>
      </c>
      <c r="G18">
        <v>8.6434706748977099</v>
      </c>
      <c r="H18">
        <v>1.35037425505024</v>
      </c>
      <c r="I18">
        <v>1.33333333333212E-2</v>
      </c>
      <c r="J18">
        <v>25.585459384109701</v>
      </c>
      <c r="K18">
        <v>1167</v>
      </c>
      <c r="L18" t="str">
        <f>DiscreteStatsTable[[#This Row],[ProjectName]]&amp;DiscreteStatsTable[[#This Row],[Name]]&amp;DiscreteStatsTable[[#This Row],[Type]]&amp;DiscreteStatsTable[[#This Row],[Source]]</f>
        <v>Unnamed ProjectPallWait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8.6434706748977099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8.6434706748977099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8.6434706748977099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1.33333333333212E-2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25.585459384109701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1167</v>
      </c>
      <c r="W18">
        <f>IF((DiscreteStatsTable[[#This Row],[RepsRequested]]&gt;1),DiscreteStatsTable[[#This Row],[HalfWidth]],DiscreteStatsTable[[#This Row],[BatchMeansHalfWidth]])</f>
        <v>1.35037425505024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</sheetData>
  <phoneticPr fontId="2" type="noConversion"/>
  <conditionalFormatting sqref="H2:H18 Q2:Q18">
    <cfRule type="expression" dxfId="51" priority="23">
      <formula>H2=200000000000000000000</formula>
    </cfRule>
  </conditionalFormatting>
  <conditionalFormatting sqref="H2:H18">
    <cfRule type="expression" dxfId="50" priority="21">
      <formula>H2=300000000000000000000</formula>
    </cfRule>
  </conditionalFormatting>
  <conditionalFormatting sqref="L2:Y18">
    <cfRule type="expression" dxfId="49" priority="19">
      <formula>MOD(ROW(),2)=0</formula>
    </cfRule>
  </conditionalFormatting>
  <conditionalFormatting sqref="Y2:Y18">
    <cfRule type="expression" dxfId="48" priority="14">
      <formula>Y2=0</formula>
    </cfRule>
    <cfRule type="expression" dxfId="47" priority="16">
      <formula>Y2=1</formula>
    </cfRule>
  </conditionalFormatting>
  <conditionalFormatting sqref="Y3:Y18">
    <cfRule type="expression" dxfId="46" priority="15">
      <formula>Y3=1</formula>
    </cfRule>
  </conditionalFormatting>
  <conditionalFormatting sqref="W2:W18">
    <cfRule type="expression" dxfId="45" priority="6">
      <formula>W2=300000000000000000000</formula>
    </cfRule>
    <cfRule type="expression" dxfId="44" priority="7">
      <formula>W2=200000000000000000000</formula>
    </cfRule>
  </conditionalFormatting>
  <conditionalFormatting sqref="Q2:Q18 W2:W18">
    <cfRule type="expression" dxfId="43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36328125" bestFit="1" customWidth="1"/>
    <col min="5" max="5" width="14.5429687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8.7265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86</v>
      </c>
      <c r="F2" t="s">
        <v>72</v>
      </c>
      <c r="G2">
        <v>2.4805368708209001</v>
      </c>
      <c r="H2">
        <v>2E+20</v>
      </c>
      <c r="I2">
        <v>0</v>
      </c>
      <c r="J2">
        <v>20</v>
      </c>
      <c r="K2">
        <v>13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ProjectBegar Truck Brygga 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2.4805368708209001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2.4805368708209001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2.4805368708209001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86</v>
      </c>
      <c r="F3" t="s">
        <v>72</v>
      </c>
      <c r="G3">
        <v>2.4652432265725701</v>
      </c>
      <c r="H3">
        <v>2E+20</v>
      </c>
      <c r="I3">
        <v>0</v>
      </c>
      <c r="J3">
        <v>20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ProjectBegar Truck Brygga 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2.4652432265725701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2.4652432265725701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2.4652432265725701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86</v>
      </c>
      <c r="F4" t="s">
        <v>72</v>
      </c>
      <c r="G4">
        <v>3.0877424464912502</v>
      </c>
      <c r="H4">
        <v>2E+20</v>
      </c>
      <c r="I4">
        <v>0</v>
      </c>
      <c r="J4">
        <v>20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ProjectBegar Truck Brygga 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3.0877424464912502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3.0877424464912502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3.0877424464912502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86</v>
      </c>
      <c r="F5" t="s">
        <v>72</v>
      </c>
      <c r="G5">
        <v>2.4414332968405201</v>
      </c>
      <c r="H5">
        <v>2E+20</v>
      </c>
      <c r="I5">
        <v>0</v>
      </c>
      <c r="J5">
        <v>21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ProjectBegar Truck Brygga 4.QueueNumber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2.4414332968405201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2.4414332968405201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2.4414332968405201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86</v>
      </c>
      <c r="F6" t="s">
        <v>72</v>
      </c>
      <c r="G6">
        <v>2.08668355372212</v>
      </c>
      <c r="H6">
        <v>2E+20</v>
      </c>
      <c r="I6">
        <v>0</v>
      </c>
      <c r="J6">
        <v>20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ProjectBegar Truck Brygga 5.QueueNumber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2.08668355372212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2.08668355372212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2.08668355372212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87</v>
      </c>
      <c r="F7" t="s">
        <v>79</v>
      </c>
      <c r="G7">
        <v>0</v>
      </c>
      <c r="H7">
        <v>2E+20</v>
      </c>
      <c r="I7">
        <v>0</v>
      </c>
      <c r="J7">
        <v>22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ProjectLastbilWIPEntity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85</v>
      </c>
      <c r="E8" t="s">
        <v>87</v>
      </c>
      <c r="F8" t="s">
        <v>79</v>
      </c>
      <c r="G8">
        <v>16.671342082261098</v>
      </c>
      <c r="H8">
        <v>3.9726202244818198</v>
      </c>
      <c r="I8">
        <v>0</v>
      </c>
      <c r="J8">
        <v>58</v>
      </c>
      <c r="K8">
        <v>18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ProjectPallWIPEntity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16.671342082261098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16.671342082261098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16.671342082261098</v>
      </c>
      <c r="U8">
        <f>IF((ContinuousStatsTable[[#This Row],[RepsRequested]]&gt;1),ContinuousStatsTable[[#This Row],[HalfWidth]],ContinuousStatsTable[[#This Row],[BatchMeansHalfWidth]])</f>
        <v>3.9726202244818198</v>
      </c>
    </row>
  </sheetData>
  <phoneticPr fontId="2" type="noConversion"/>
  <conditionalFormatting sqref="H2:H8">
    <cfRule type="expression" dxfId="28" priority="9">
      <formula>H2=200000000000000000000</formula>
    </cfRule>
  </conditionalFormatting>
  <conditionalFormatting sqref="H2:H8">
    <cfRule type="expression" dxfId="27" priority="7">
      <formula>H2=300000000000000000000</formula>
    </cfRule>
  </conditionalFormatting>
  <conditionalFormatting sqref="M2:U8">
    <cfRule type="expression" dxfId="26" priority="5">
      <formula>MOD(ROW(),2)=0</formula>
    </cfRule>
  </conditionalFormatting>
  <conditionalFormatting sqref="U2:U8">
    <cfRule type="expression" dxfId="25" priority="3">
      <formula>U2=200000000000000000000</formula>
    </cfRule>
    <cfRule type="expression" dxfId="24" priority="4">
      <formula>U2=300000000000000000000</formula>
    </cfRule>
  </conditionalFormatting>
  <conditionalFormatting sqref="R2:R8 U2:U8">
    <cfRule type="expression" dxfId="2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3" priority="2">
      <formula>MOD(ROW(),2)=0</formula>
    </cfRule>
  </conditionalFormatting>
  <conditionalFormatting sqref="M2">
    <cfRule type="expression" dxfId="12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36328125" bestFit="1" customWidth="1"/>
    <col min="5" max="5" width="11.179687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48.6328125" bestFit="1" customWidth="1"/>
    <col min="10" max="10" width="16.08984375" bestFit="1" customWidth="1"/>
    <col min="11" max="11" width="9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5" width="11.1796875" bestFit="1" customWidth="1"/>
    <col min="16" max="16" width="11.542968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79</v>
      </c>
      <c r="G2">
        <v>1264</v>
      </c>
      <c r="H2">
        <v>0</v>
      </c>
      <c r="I2" t="str">
        <f>OutputTable[[#This Row],[ProjectName]]&amp;OutputTable[[#This Row],[Name]]&amp;OutputTable[[#This Row],[Type]]&amp;OutputTable[[#This Row],[Source]]</f>
        <v>Unnamed ProjectLastbil.NumberInNumber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1264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1264</v>
      </c>
      <c r="P2" cm="1">
        <f t="array" ref="P2">MAX(IF((OutputTable[GroupByKey]=OutputTable[[#This Row],[GroupByKey]]),(OutputTable[GroupByKey]=OutputTable[[#This Row],[GroupByKey]])*OutputTable[RecordedValue]))</f>
        <v>1264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79</v>
      </c>
      <c r="G3">
        <v>1264</v>
      </c>
      <c r="H3">
        <v>0</v>
      </c>
      <c r="I3" t="str">
        <f>OutputTable[[#This Row],[ProjectName]]&amp;OutputTable[[#This Row],[Name]]&amp;OutputTable[[#This Row],[Type]]&amp;OutputTable[[#This Row],[Source]]</f>
        <v>Unnamed ProjectLastbil.NumberOutNumber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1264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1264</v>
      </c>
      <c r="P3" cm="1">
        <f t="array" ref="P3">MAX(IF((OutputTable[GroupByKey]=OutputTable[[#This Row],[GroupByKey]]),(OutputTable[GroupByKey]=OutputTable[[#This Row],[GroupByKey]])*OutputTable[RecordedValue]))</f>
        <v>1264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89</v>
      </c>
      <c r="F4" t="s">
        <v>79</v>
      </c>
      <c r="G4">
        <v>1185</v>
      </c>
      <c r="H4">
        <v>0</v>
      </c>
      <c r="I4" t="str">
        <f>OutputTable[[#This Row],[ProjectName]]&amp;OutputTable[[#This Row],[Name]]&amp;OutputTable[[#This Row],[Type]]&amp;OutputTable[[#This Row],[Source]]</f>
        <v>Unnamed ProjectPall.NumberInNumber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1185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1185</v>
      </c>
      <c r="P4" cm="1">
        <f t="array" ref="P4">MAX(IF((OutputTable[GroupByKey]=OutputTable[[#This Row],[GroupByKey]]),(OutputTable[GroupByKey]=OutputTable[[#This Row],[GroupByKey]])*OutputTable[RecordedValue]))</f>
        <v>1185</v>
      </c>
    </row>
    <row r="5" spans="1:16" x14ac:dyDescent="0.35">
      <c r="A5" t="s">
        <v>66</v>
      </c>
      <c r="B5" t="s">
        <v>69</v>
      </c>
      <c r="C5">
        <v>1</v>
      </c>
      <c r="D5" t="s">
        <v>93</v>
      </c>
      <c r="E5" t="s">
        <v>91</v>
      </c>
      <c r="F5" t="s">
        <v>79</v>
      </c>
      <c r="G5">
        <v>1167</v>
      </c>
      <c r="H5">
        <v>0</v>
      </c>
      <c r="I5" t="str">
        <f>OutputTable[[#This Row],[ProjectName]]&amp;OutputTable[[#This Row],[Name]]&amp;OutputTable[[#This Row],[Type]]&amp;OutputTable[[#This Row],[Source]]</f>
        <v>Unnamed ProjectPall.NumberOutNumber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1167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1167</v>
      </c>
      <c r="P5" cm="1">
        <f t="array" ref="P5">MAX(IF((OutputTable[GroupByKey]=OutputTable[[#This Row],[GroupByKey]]),(OutputTable[GroupByKey]=OutputTable[[#This Row],[GroupByKey]])*OutputTable[RecordedValue]))</f>
        <v>1167</v>
      </c>
    </row>
    <row r="6" spans="1:16" x14ac:dyDescent="0.35">
      <c r="A6" t="s">
        <v>66</v>
      </c>
      <c r="B6" t="s">
        <v>69</v>
      </c>
      <c r="C6">
        <v>1</v>
      </c>
      <c r="D6" t="s">
        <v>94</v>
      </c>
      <c r="E6" t="s">
        <v>91</v>
      </c>
      <c r="F6" t="s">
        <v>95</v>
      </c>
      <c r="G6">
        <v>1246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1246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1246</v>
      </c>
      <c r="P6" cm="1">
        <f t="array" ref="P6">MAX(IF((OutputTable[GroupByKey]=OutputTable[[#This Row],[GroupByKey]]),(OutputTable[GroupByKey]=OutputTable[[#This Row],[GroupByKey]])*OutputTable[RecordedValue]))</f>
        <v>1246</v>
      </c>
    </row>
  </sheetData>
  <phoneticPr fontId="2" type="noConversion"/>
  <conditionalFormatting sqref="I2:P6">
    <cfRule type="expression" dxfId="11" priority="2">
      <formula>MOD(ROW(),2)=0</formula>
    </cfRule>
  </conditionalFormatting>
  <conditionalFormatting sqref="N2:N6">
    <cfRule type="expression" dxfId="10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2026-02-25T13:54:37Z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