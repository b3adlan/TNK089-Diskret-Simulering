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she\Downloads\ÅK3\TNK089 Diskret Simulering\lab4\"/>
    </mc:Choice>
  </mc:AlternateContent>
  <xr:revisionPtr revIDLastSave="0" documentId="13_ncr:1_{C3401294-AA53-4E92-8690-A03DD674FA41}" xr6:coauthVersionLast="47" xr6:coauthVersionMax="47" xr10:uidLastSave="{00000000-0000-0000-0000-000000000000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ContinuousTimeStatsByRep!$A$1:$L$8</definedName>
    <definedName name="ExternalData_1" localSheetId="4" hidden="1">CounterStatsByRep!$A$1:$G$2</definedName>
    <definedName name="ExternalData_1" localSheetId="2" hidden="1">DiscreteTimeStatsByRep!$A$1:$K$18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56" r:id="rId8"/>
    <pivotCache cacheId="163" r:id="rId9"/>
    <pivotCache cacheId="170" r:id="rId10"/>
    <pivotCache cacheId="177" r:id="rId11"/>
    <pivotCache cacheId="18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J2" i="20" a="1"/>
  <c r="J2" i="20" s="1"/>
  <c r="J3" i="20" a="1"/>
  <c r="J3" i="20" s="1"/>
  <c r="J4" i="20" a="1"/>
  <c r="J4" i="20" s="1"/>
  <c r="J5" i="20" a="1"/>
  <c r="J5" i="20" s="1"/>
  <c r="N5" i="20" s="1"/>
  <c r="J6" i="20" a="1"/>
  <c r="J6" i="20" s="1"/>
  <c r="K4" i="20" a="1"/>
  <c r="K4" i="20" s="1"/>
  <c r="K5" i="20" a="1"/>
  <c r="K5" i="20" s="1"/>
  <c r="K6" i="20" a="1"/>
  <c r="K6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M2" i="20" a="1"/>
  <c r="M2" i="20" s="1"/>
  <c r="M3" i="20" a="1"/>
  <c r="M3" i="20" s="1"/>
  <c r="M4" i="20" a="1"/>
  <c r="M4" i="20"/>
  <c r="M5" i="20" a="1"/>
  <c r="M5" i="20" s="1"/>
  <c r="M6" i="20" a="1"/>
  <c r="M6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M2" i="18"/>
  <c r="M3" i="18"/>
  <c r="M4" i="18"/>
  <c r="M5" i="18"/>
  <c r="M6" i="18"/>
  <c r="M7" i="18"/>
  <c r="M8" i="18"/>
  <c r="N2" i="18" a="1"/>
  <c r="N2" i="18" s="1"/>
  <c r="N3" i="18" a="1"/>
  <c r="N3" i="18" s="1"/>
  <c r="N4" i="18" a="1"/>
  <c r="N4" i="18"/>
  <c r="N5" i="18" a="1"/>
  <c r="N5" i="18" s="1"/>
  <c r="N6" i="18" a="1"/>
  <c r="N6" i="18" s="1"/>
  <c r="N7" i="18" a="1"/>
  <c r="N7" i="18" s="1"/>
  <c r="N8" i="18" a="1"/>
  <c r="N8" i="18" s="1"/>
  <c r="O2" i="18" a="1"/>
  <c r="O2" i="18" s="1"/>
  <c r="O3" i="18" a="1"/>
  <c r="O3" i="18" s="1"/>
  <c r="O4" i="18" a="1"/>
  <c r="O4" i="18"/>
  <c r="O5" i="18" a="1"/>
  <c r="O5" i="18" s="1"/>
  <c r="O6" i="18" a="1"/>
  <c r="O6" i="18" s="1"/>
  <c r="O7" i="18" a="1"/>
  <c r="O7" i="18"/>
  <c r="O8" i="18" a="1"/>
  <c r="O8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U4" i="18"/>
  <c r="L2" i="17"/>
  <c r="L3" i="17"/>
  <c r="L4" i="17"/>
  <c r="L5" i="17"/>
  <c r="L6" i="17"/>
  <c r="L7" i="17"/>
  <c r="L8" i="17"/>
  <c r="L9" i="17"/>
  <c r="L10" i="17"/>
  <c r="L11" i="17"/>
  <c r="L12" i="17"/>
  <c r="R2" i="17" s="1" a="1"/>
  <c r="R2" i="17" s="1"/>
  <c r="L13" i="17"/>
  <c r="L14" i="17"/>
  <c r="L15" i="17"/>
  <c r="R11" i="17" s="1" a="1"/>
  <c r="R11" i="17" s="1"/>
  <c r="L16" i="17"/>
  <c r="L17" i="17"/>
  <c r="R12" i="17" s="1" a="1"/>
  <c r="R12" i="17" s="1"/>
  <c r="L18" i="17"/>
  <c r="M2" i="17" a="1"/>
  <c r="M2" i="17" s="1"/>
  <c r="M3" i="17" a="1"/>
  <c r="M3" i="17" s="1"/>
  <c r="W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N2" i="17" a="1"/>
  <c r="N2" i="17" s="1"/>
  <c r="N3" i="17" a="1"/>
  <c r="N3" i="17" s="1"/>
  <c r="N4" i="17" a="1"/>
  <c r="N4" i="17" s="1"/>
  <c r="N5" i="17" a="1"/>
  <c r="N5" i="17" s="1"/>
  <c r="N6" i="17" a="1"/>
  <c r="N6" i="17" s="1"/>
  <c r="N7" i="17" a="1"/>
  <c r="N7" i="17" s="1"/>
  <c r="N8" i="17" a="1"/>
  <c r="N8" i="17" s="1"/>
  <c r="N9" i="17" a="1"/>
  <c r="N9" i="17" s="1"/>
  <c r="N10" i="17" a="1"/>
  <c r="N10" i="17" s="1"/>
  <c r="N11" i="17" a="1"/>
  <c r="N11" i="17" s="1"/>
  <c r="N12" i="17" a="1"/>
  <c r="N12" i="17" s="1"/>
  <c r="N13" i="17" a="1"/>
  <c r="N13" i="17" s="1"/>
  <c r="N14" i="17" a="1"/>
  <c r="N14" i="17" s="1"/>
  <c r="N15" i="17" a="1"/>
  <c r="N15" i="17" s="1"/>
  <c r="N16" i="17" a="1"/>
  <c r="N16" i="17" s="1"/>
  <c r="N17" i="17" a="1"/>
  <c r="N17" i="17" s="1"/>
  <c r="N18" i="17" a="1"/>
  <c r="N18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S3" i="17" a="1"/>
  <c r="S3" i="17"/>
  <c r="S4" i="17" a="1"/>
  <c r="S4" i="17"/>
  <c r="S5" i="17" a="1"/>
  <c r="S5" i="17"/>
  <c r="S6" i="17" a="1"/>
  <c r="S6" i="17"/>
  <c r="S7" i="17" a="1"/>
  <c r="S7" i="17"/>
  <c r="S8" i="17" a="1"/>
  <c r="S8" i="17"/>
  <c r="S9" i="17" a="1"/>
  <c r="S9" i="17"/>
  <c r="S10" i="17" a="1"/>
  <c r="S10" i="17" s="1"/>
  <c r="S11" i="17" a="1"/>
  <c r="S11" i="17" s="1"/>
  <c r="S12" i="17" a="1"/>
  <c r="S12" i="17" s="1"/>
  <c r="S13" i="17" a="1"/>
  <c r="S1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X11" i="17" a="1"/>
  <c r="X11" i="17" s="1"/>
  <c r="X12" i="17" a="1"/>
  <c r="X12" i="17" s="1"/>
  <c r="X13" i="17" a="1"/>
  <c r="X13" i="17" s="1"/>
  <c r="X14" i="17" a="1"/>
  <c r="X14" i="17" s="1"/>
  <c r="X15" i="17" a="1"/>
  <c r="X15" i="17" s="1"/>
  <c r="X16" i="17" a="1"/>
  <c r="X16" i="17" s="1"/>
  <c r="X17" i="17" a="1"/>
  <c r="X17" i="17" s="1"/>
  <c r="G2" i="16"/>
  <c r="N6" i="20" l="1"/>
  <c r="N4" i="20"/>
  <c r="K2" i="20" a="1"/>
  <c r="K2" i="20" s="1"/>
  <c r="K3" i="20" a="1"/>
  <c r="K3" i="20" s="1"/>
  <c r="N2" i="20"/>
  <c r="N3" i="20"/>
  <c r="R4" i="18"/>
  <c r="U2" i="18"/>
  <c r="R2" i="18"/>
  <c r="R3" i="18"/>
  <c r="U3" i="18"/>
  <c r="U5" i="18"/>
  <c r="R5" i="18"/>
  <c r="U6" i="18"/>
  <c r="R6" i="18"/>
  <c r="R7" i="18"/>
  <c r="U7" i="18"/>
  <c r="U8" i="18"/>
  <c r="R8" i="18"/>
  <c r="R13" i="17" a="1"/>
  <c r="R13" i="17" s="1"/>
  <c r="S2" i="17" a="1"/>
  <c r="S2" i="17" s="1"/>
  <c r="R15" i="17" a="1"/>
  <c r="R15" i="17" s="1"/>
  <c r="R14" i="17" a="1"/>
  <c r="R14" i="17" s="1"/>
  <c r="R16" i="17" a="1"/>
  <c r="R16" i="17" s="1"/>
  <c r="R17" i="17" a="1"/>
  <c r="R17" i="17" s="1"/>
  <c r="R10" i="17" a="1"/>
  <c r="R10" i="17" s="1"/>
  <c r="R18" i="17" a="1"/>
  <c r="R18" i="17" s="1"/>
  <c r="X18" i="17" a="1"/>
  <c r="X18" i="17" s="1"/>
  <c r="Y18" i="17" s="1"/>
  <c r="W18" i="17"/>
  <c r="R6" i="17" a="1"/>
  <c r="R6" i="17" s="1"/>
  <c r="R5" i="17" a="1"/>
  <c r="R5" i="17" s="1"/>
  <c r="R4" i="17" a="1"/>
  <c r="R4" i="17" s="1"/>
  <c r="R3" i="17" a="1"/>
  <c r="R3" i="17" s="1"/>
  <c r="X2" i="17" a="1"/>
  <c r="X2" i="17" s="1"/>
  <c r="X3" i="17" a="1"/>
  <c r="X3" i="17" s="1"/>
  <c r="Y3" i="17" s="1"/>
  <c r="Q3" i="17" s="1"/>
  <c r="X4" i="17" a="1"/>
  <c r="X4" i="17" s="1"/>
  <c r="X5" i="17" a="1"/>
  <c r="X5" i="17" s="1"/>
  <c r="X6" i="17" a="1"/>
  <c r="X6" i="17" s="1"/>
  <c r="R7" i="17" a="1"/>
  <c r="R7" i="17" s="1"/>
  <c r="X7" i="17" a="1"/>
  <c r="X7" i="17" s="1"/>
  <c r="X8" i="17" a="1"/>
  <c r="X8" i="17" s="1"/>
  <c r="R8" i="17" a="1"/>
  <c r="R8" i="17" s="1"/>
  <c r="X10" i="17" a="1"/>
  <c r="X10" i="17" s="1"/>
  <c r="X9" i="17" a="1"/>
  <c r="X9" i="17" s="1"/>
  <c r="R9" i="17" a="1"/>
  <c r="R9" i="17" s="1"/>
  <c r="Y2" i="17"/>
  <c r="Q2" i="17" s="1"/>
  <c r="W2" i="17"/>
  <c r="Y4" i="17"/>
  <c r="Q4" i="17" s="1"/>
  <c r="W4" i="17"/>
  <c r="Y5" i="17"/>
  <c r="Q5" i="17" s="1"/>
  <c r="W5" i="17"/>
  <c r="W6" i="17"/>
  <c r="Y6" i="17"/>
  <c r="Q6" i="17" s="1"/>
  <c r="Y7" i="17"/>
  <c r="Q7" i="17" s="1"/>
  <c r="W7" i="17"/>
  <c r="Y8" i="17"/>
  <c r="Q8" i="17" s="1"/>
  <c r="W8" i="17"/>
  <c r="Y9" i="17"/>
  <c r="Q9" i="17" s="1"/>
  <c r="W9" i="17"/>
  <c r="Y10" i="17"/>
  <c r="Q10" i="17" s="1"/>
  <c r="W10" i="17"/>
  <c r="Y11" i="17"/>
  <c r="Q11" i="17" s="1"/>
  <c r="W11" i="17"/>
  <c r="Y12" i="17"/>
  <c r="Q12" i="17" s="1"/>
  <c r="W12" i="17"/>
  <c r="Y13" i="17"/>
  <c r="Q13" i="17" s="1"/>
  <c r="W13" i="17"/>
  <c r="Y14" i="17"/>
  <c r="Q14" i="17" s="1"/>
  <c r="W14" i="17"/>
  <c r="Y15" i="17"/>
  <c r="Q15" i="17" s="1"/>
  <c r="W15" i="17"/>
  <c r="Y16" i="17"/>
  <c r="Q16" i="17" s="1"/>
  <c r="W16" i="17"/>
  <c r="Y17" i="17"/>
  <c r="Q17" i="17" s="1"/>
  <c r="W17" i="17"/>
  <c r="Q18" i="1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bashe\downloads\åk3\tnk089 diskret simulering\lab4\team04_uppgift4b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bashe\downloads\åk3\tnk089 diskret simulering\lab4\team04_uppgift4b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bashe\downloads\åk3\tnk089 diskret simulering\lab4\team04_uppgift4b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bashe\downloads\åk3\tnk089 diskret simulering\lab4\team04_uppgift4b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bashe\downloads\åk3\tnk089 diskret simulering\lab4\team04_uppgift4b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bashe\downloads\åk3\tnk089 diskret simulering\lab4\team04_uppgift4b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<sst xmlns="http://schemas.openxmlformats.org/spreadsheetml/2006/main" count="390" uniqueCount="97">
  <si>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</si>
  <si>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</si>
  <si>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</si>
  <si>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</si>
  <si>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</si>
  <si>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</si>
  <si>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</si>
  <si>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</si>
  <si>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</si>
  <si>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</si>
  <si>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</si>
  <si>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</si>
  <si>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</si>
  <si>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</si>
  <si>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</si>
  <si>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</si>
  <si>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</si>
  <si>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</si>
  <si>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</si>
  <si>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</si>
  <si>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</si>
  <si>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</si>
  <si>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</si>
  <si>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</si>
  <si>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</si>
  <si>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</si>
  <si>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</si>
  <si>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</si>
  <si>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</si>
  <si>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</si>
  <si>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</si>
  <si>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</si>
  <si>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</si>
  <si>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</si>
  <si>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</si>
  <si>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</si>
  <si>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</si>
  <si>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</si>
  <si>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</si>
  <si>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</si>
  <si>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</si>
  <si>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</si>
  <si>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</si>
  <si>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</si>
  <si>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</si>
  <si>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</si>
  <si>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</si>
  <si>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</si>
  <si>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</si>
  <si>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</si>
  <si>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</si>
  <si>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</si>
  <si>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</si>
  <si>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</si>
  <si>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</si>
  <si>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</si>
  <si>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</si>
  <si>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</si>
  <si>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</si>
  <si>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</si>
  <si>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</si>
  <si>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</si>
  <si>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</si>
  <si>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</si>
  <si>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</si>
  <si>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</si>
  <si>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</si>
  <si>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</si>
  <si>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C:\Users\bashe\Downloads\ÅK3\TNK089 Diskret Simulering\lab4\team04_uppgift4b.p</t>
  </si>
  <si>
    <t>2026-02-25 20:43:41</t>
  </si>
  <si>
    <t>Begar Truck Brygga 1.Queue</t>
  </si>
  <si>
    <t>Waiting Time</t>
  </si>
  <si>
    <t>Queue</t>
  </si>
  <si>
    <t>Begar Truck Brygga 2.Queue</t>
  </si>
  <si>
    <t>Begar Truck Brygga 3.Queue</t>
  </si>
  <si>
    <t>Begar Truck Brygga 4.Queue</t>
  </si>
  <si>
    <t>Begar Truck Brygga 5.Queue</t>
  </si>
  <si>
    <t>Lastbil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</si>
  <si>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</si>
  <si>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</si>
  <si>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</si>
  <si>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</si>
  <si>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</si>
  <si>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</si>
  <si>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</si>
  <si>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Pall</t>
  </si>
  <si>
    <t>Number Waiting</t>
  </si>
  <si>
    <t>WIP</t>
  </si>
  <si>
    <t>Lastbil.NumberIn</t>
  </si>
  <si>
    <t>Number In</t>
  </si>
  <si>
    <t>Lastbil.NumberOut</t>
  </si>
  <si>
    <t>Number Out</t>
  </si>
  <si>
    <t>Pall.NumberIn</t>
  </si>
  <si>
    <t>Pall.NumberOut</t>
  </si>
  <si>
    <t>System.NumberOut</t>
  </si>
  <si>
    <t>System</t>
  </si>
  <si>
    <t>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</si>
</sst>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8.86398148148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8.863982291667" createdVersion="7" refreshedVersion="8" minRefreshableVersion="3" recordCount="1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6">
        <s v="Begar Truck Brygga 1.Queue"/>
        <s v="Begar Truck Brygga 2.Queue"/>
        <s v="Begar Truck Brygga 3.Queue"/>
        <s v="Begar Truck Brygga 4.Queue"/>
        <s v="Begar Truck Brygga 5.Queue"/>
        <s v="Lastbil"/>
        <s v="Pall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0.432989288156399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0.65700408252121201"/>
    </cacheField>
    <cacheField name="Maximum" numFmtId="0">
      <sharedItems containsSemiMixedTypes="0" containsString="0" containsNumber="1" minValue="0" maxValue="54.6320374691865"/>
    </cacheField>
    <cacheField name="NumberObservations" numFmtId="0">
      <sharedItems containsSemiMixedTypes="0" containsString="0" containsNumber="1" containsInteger="1" minValue="80" maxValue="1167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0.4329892881563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0.432989288156399"/>
    </cacheField>
    <cacheField name="MaximumAverage" numFmtId="0">
      <sharedItems containsSemiMixedTypes="0" containsString="0" containsNumber="1" minValue="0" maxValue="10.432989288156399"/>
    </cacheField>
    <cacheField name="OverallMinimum" numFmtId="0">
      <sharedItems containsSemiMixedTypes="0" containsString="0" containsNumber="1" minValue="0" maxValue="0.65700408252121201"/>
    </cacheField>
    <cacheField name="OverallMaximum" numFmtId="0">
      <sharedItems containsSemiMixedTypes="0" containsString="0" containsNumber="1" minValue="0" maxValue="54.6320374691865"/>
    </cacheField>
    <cacheField name="AverageNumberObservations" numFmtId="0">
      <sharedItems containsSemiMixedTypes="0" containsString="0" containsNumber="1" containsInteger="1" minValue="80" maxValue="1167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8.863982523151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Lastbil.NumberIn"/>
        <s v="Lastbil.NumberOut"/>
        <s v="Pall.NumberIn"/>
        <s v="Pall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1167" maxValue="126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1167" maxValue="1265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1167" maxValue="1265"/>
    </cacheField>
    <cacheField name="Maximum" numFmtId="0">
      <sharedItems containsSemiMixedTypes="0" containsString="0" containsNumber="1" containsInteger="1" minValue="1167" maxValue="12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8.86398310185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8.863983449075" createdVersion="7" refreshedVersion="8" minRefreshableVersion="3" recordCount="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1">
        <s v="Begar Truck Brygga 1.Queue"/>
        <s v="Begar Truck Brygga 2.Queue"/>
        <s v="Begar Truck Brygga 3.Queue"/>
        <s v="Begar Truck Brygga 4.Queue"/>
        <s v="Begar Truck Brygga 5.Queue"/>
        <s v="Lastbil"/>
        <s v="Pall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m u="1"/>
        <s v="Number Scheduled" u="1"/>
        <s v="Number Busy" u="1"/>
        <s v="Levels" u="1"/>
        <s v="Instantaneous Utilization" u="1"/>
      </sharedItems>
    </cacheField>
    <cacheField name="Source" numFmtId="0">
      <sharedItems containsBlank="1" count="5">
        <s v="Queue"/>
        <s v="Entity"/>
        <m u="1"/>
        <s v="Resource" u="1"/>
        <s v="User Specified" u="1"/>
      </sharedItems>
    </cacheField>
    <cacheField name="Average" numFmtId="0">
      <sharedItems containsSemiMixedTypes="0" containsString="0" containsNumber="1" minValue="0" maxValue="17.046301081055201"/>
    </cacheField>
    <cacheField name="BatchMeansHalfWidth" numFmtId="0">
      <sharedItems containsSemiMixedTypes="0" containsString="0" containsNumber="1" minValue="3.6324030859030501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17" maxValue="61"/>
    </cacheField>
    <cacheField name="LastRecordedValue" numFmtId="0">
      <sharedItems containsSemiMixedTypes="0" containsString="0" containsNumber="1" containsInteger="1" minValue="0" maxValue="1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7.0463010810552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7.046301081055201"/>
    </cacheField>
    <cacheField name="MaximumAverage" numFmtId="0">
      <sharedItems containsSemiMixedTypes="0" containsString="0" containsNumber="1" minValue="0" maxValue="17.046301081055201"/>
    </cacheField>
    <cacheField name="SummaryHalfWidth" numFmtId="0">
      <sharedItems containsSemiMixedTypes="0" containsString="0" containsNumber="1" minValue="3.6324030859030501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s v="2026-02-25 20:43:41"/>
    <n v="1"/>
    <x v="0"/>
    <x v="0"/>
    <x v="0"/>
    <n v="7.5272074355146597"/>
    <n v="2E+20"/>
    <n v="0"/>
    <n v="51.759973420008997"/>
    <n v="236"/>
    <s v="Unnamed ProjectBegar Truck Brygga 1.QueueWaiting TimeQueue"/>
    <n v="1"/>
    <n v="7.5272074355146597"/>
    <n v="0"/>
    <n v="0.95"/>
    <n v="4E+20"/>
    <n v="7.5272074355146597"/>
    <n v="7.5272074355146597"/>
    <n v="0"/>
    <n v="51.759973420008997"/>
    <n v="236"/>
    <n v="2E+20"/>
    <n v="1"/>
    <n v="1"/>
  </r>
  <r>
    <x v="0"/>
    <s v="2026-02-25 20:43:41"/>
    <n v="1"/>
    <x v="1"/>
    <x v="0"/>
    <x v="0"/>
    <n v="8.1780485017186901"/>
    <n v="2E+20"/>
    <n v="0"/>
    <n v="43.473996759739698"/>
    <n v="218"/>
    <s v="Unnamed ProjectBegar Truck Brygga 2.QueueWaiting TimeQueue"/>
    <n v="1"/>
    <n v="8.1780485017186901"/>
    <n v="0"/>
    <n v="0.95"/>
    <n v="4E+20"/>
    <n v="8.1780485017186901"/>
    <n v="8.1780485017186901"/>
    <n v="0"/>
    <n v="43.473996759739698"/>
    <n v="218"/>
    <n v="2E+20"/>
    <n v="1"/>
    <n v="1"/>
  </r>
  <r>
    <x v="0"/>
    <s v="2026-02-25 20:43:41"/>
    <n v="1"/>
    <x v="2"/>
    <x v="0"/>
    <x v="0"/>
    <n v="8.8102371587250392"/>
    <n v="2E+20"/>
    <n v="0"/>
    <n v="43.770750972697002"/>
    <n v="207"/>
    <s v="Unnamed ProjectBegar Truck Brygga 3.QueueWaiting TimeQueue"/>
    <n v="1"/>
    <n v="8.8102371587250392"/>
    <n v="0"/>
    <n v="0.95"/>
    <n v="4E+20"/>
    <n v="8.8102371587250392"/>
    <n v="8.8102371587250392"/>
    <n v="0"/>
    <n v="43.770750972697002"/>
    <n v="207"/>
    <n v="2E+20"/>
    <n v="1"/>
    <n v="1"/>
  </r>
  <r>
    <x v="0"/>
    <s v="2026-02-25 20:43:41"/>
    <n v="1"/>
    <x v="3"/>
    <x v="0"/>
    <x v="0"/>
    <n v="8.3205859460899898"/>
    <n v="2E+20"/>
    <n v="0"/>
    <n v="41.206756624082601"/>
    <n v="269"/>
    <s v="Unnamed ProjectBegar Truck Brygga 4.QueueWaiting TimeQueue"/>
    <n v="1"/>
    <n v="8.3205859460899898"/>
    <n v="0"/>
    <n v="0.95"/>
    <n v="4E+20"/>
    <n v="8.3205859460899898"/>
    <n v="8.3205859460899898"/>
    <n v="0"/>
    <n v="41.206756624082601"/>
    <n v="269"/>
    <n v="2E+20"/>
    <n v="1"/>
    <n v="1"/>
  </r>
  <r>
    <x v="0"/>
    <s v="2026-02-25 20:43:41"/>
    <n v="1"/>
    <x v="4"/>
    <x v="0"/>
    <x v="0"/>
    <n v="6.9646094493171802"/>
    <n v="2E+20"/>
    <n v="0"/>
    <n v="51.973025001834301"/>
    <n v="242"/>
    <s v="Unnamed ProjectBegar Truck Brygga 5.QueueWaiting TimeQueue"/>
    <n v="1"/>
    <n v="6.9646094493171802"/>
    <n v="0"/>
    <n v="0.95"/>
    <n v="4E+20"/>
    <n v="6.9646094493171802"/>
    <n v="6.9646094493171802"/>
    <n v="0"/>
    <n v="51.973025001834301"/>
    <n v="242"/>
    <n v="2E+20"/>
    <n v="1"/>
    <n v="1"/>
  </r>
  <r>
    <x v="0"/>
    <s v="2026-02-25 20:43:41"/>
    <n v="1"/>
    <x v="5"/>
    <x v="1"/>
    <x v="1"/>
    <n v="0"/>
    <n v="2E+20"/>
    <n v="0"/>
    <n v="0"/>
    <n v="80"/>
    <s v="Unnamed ProjectLastbilNVA TimeEntity"/>
    <n v="1"/>
    <n v="0"/>
    <n v="0"/>
    <n v="0.95"/>
    <n v="4E+20"/>
    <n v="0"/>
    <n v="0"/>
    <n v="0"/>
    <n v="0"/>
    <n v="80"/>
    <n v="2E+20"/>
    <n v="1"/>
    <n v="1"/>
  </r>
  <r>
    <x v="0"/>
    <s v="2026-02-25 20:43:41"/>
    <n v="1"/>
    <x v="5"/>
    <x v="2"/>
    <x v="1"/>
    <n v="0"/>
    <n v="2E+20"/>
    <n v="0"/>
    <n v="0"/>
    <n v="80"/>
    <s v="Unnamed ProjectLastbilOther TimeEntity"/>
    <n v="1"/>
    <n v="0"/>
    <n v="0"/>
    <n v="0.95"/>
    <n v="4E+20"/>
    <n v="0"/>
    <n v="0"/>
    <n v="0"/>
    <n v="0"/>
    <n v="80"/>
    <n v="2E+20"/>
    <n v="1"/>
    <n v="1"/>
  </r>
  <r>
    <x v="0"/>
    <s v="2026-02-25 20:43:41"/>
    <n v="1"/>
    <x v="5"/>
    <x v="3"/>
    <x v="1"/>
    <n v="0"/>
    <n v="2E+20"/>
    <n v="0"/>
    <n v="0"/>
    <n v="80"/>
    <s v="Unnamed ProjectLastbilTotal TimeEntity"/>
    <n v="1"/>
    <n v="0"/>
    <n v="0"/>
    <n v="0.95"/>
    <n v="4E+20"/>
    <n v="0"/>
    <n v="0"/>
    <n v="0"/>
    <n v="0"/>
    <n v="80"/>
    <n v="2E+20"/>
    <n v="1"/>
    <n v="1"/>
  </r>
  <r>
    <x v="0"/>
    <s v="2026-02-25 20:43:41"/>
    <n v="1"/>
    <x v="5"/>
    <x v="4"/>
    <x v="1"/>
    <n v="0"/>
    <n v="2E+20"/>
    <n v="0"/>
    <n v="0"/>
    <n v="80"/>
    <s v="Unnamed ProjectLastbilTransfer TimeEntity"/>
    <n v="1"/>
    <n v="0"/>
    <n v="0"/>
    <n v="0.95"/>
    <n v="4E+20"/>
    <n v="0"/>
    <n v="0"/>
    <n v="0"/>
    <n v="0"/>
    <n v="80"/>
    <n v="2E+20"/>
    <n v="1"/>
    <n v="1"/>
  </r>
  <r>
    <x v="0"/>
    <s v="2026-02-25 20:43:41"/>
    <n v="1"/>
    <x v="5"/>
    <x v="5"/>
    <x v="1"/>
    <n v="0"/>
    <n v="2E+20"/>
    <n v="0"/>
    <n v="0"/>
    <n v="80"/>
    <s v="Unnamed ProjectLastbilVA TimeEntity"/>
    <n v="1"/>
    <n v="0"/>
    <n v="0"/>
    <n v="0.95"/>
    <n v="4E+20"/>
    <n v="0"/>
    <n v="0"/>
    <n v="0"/>
    <n v="0"/>
    <n v="80"/>
    <n v="2E+20"/>
    <n v="1"/>
    <n v="1"/>
  </r>
  <r>
    <x v="0"/>
    <s v="2026-02-25 20:43:41"/>
    <n v="1"/>
    <x v="5"/>
    <x v="6"/>
    <x v="1"/>
    <n v="0"/>
    <n v="2E+20"/>
    <n v="0"/>
    <n v="0"/>
    <n v="80"/>
    <s v="Unnamed ProjectLastbilWait TimeEntity"/>
    <n v="1"/>
    <n v="0"/>
    <n v="0"/>
    <n v="0.95"/>
    <n v="4E+20"/>
    <n v="0"/>
    <n v="0"/>
    <n v="0"/>
    <n v="0"/>
    <n v="80"/>
    <n v="2E+20"/>
    <n v="1"/>
    <n v="1"/>
  </r>
  <r>
    <x v="0"/>
    <s v="2026-02-25 20:43:41"/>
    <n v="1"/>
    <x v="6"/>
    <x v="1"/>
    <x v="1"/>
    <n v="0"/>
    <n v="0"/>
    <n v="0"/>
    <n v="0"/>
    <n v="1167"/>
    <s v="Unnamed ProjectPallNVA TimeEntity"/>
    <n v="1"/>
    <n v="0"/>
    <n v="0"/>
    <n v="0.95"/>
    <n v="4E+20"/>
    <n v="0"/>
    <n v="0"/>
    <n v="0"/>
    <n v="0"/>
    <n v="1167"/>
    <n v="0"/>
    <n v="1"/>
    <n v="1"/>
  </r>
  <r>
    <x v="0"/>
    <s v="2026-02-25 20:43:41"/>
    <n v="1"/>
    <x v="6"/>
    <x v="2"/>
    <x v="1"/>
    <n v="0.34867328800595099"/>
    <n v="1.5052435131784299E-3"/>
    <n v="0.30012884671498302"/>
    <n v="0.39979416727018702"/>
    <n v="1167"/>
    <s v="Unnamed ProjectPallOther TimeEntity"/>
    <n v="1"/>
    <n v="0.34867328800595099"/>
    <n v="0"/>
    <n v="0.95"/>
    <n v="4E+20"/>
    <n v="0.34867328800595099"/>
    <n v="0.34867328800595099"/>
    <n v="0.30012884671498302"/>
    <n v="0.39979416727018702"/>
    <n v="1167"/>
    <n v="1.5052435131784299E-3"/>
    <n v="1"/>
    <n v="1"/>
  </r>
  <r>
    <x v="0"/>
    <s v="2026-02-25 20:43:41"/>
    <n v="1"/>
    <x v="6"/>
    <x v="3"/>
    <x v="1"/>
    <n v="10.432989288156399"/>
    <n v="1.4875629718619401"/>
    <n v="0.65700408252121201"/>
    <n v="54.6320374691865"/>
    <n v="1167"/>
    <s v="Unnamed ProjectPallTotal TimeEntity"/>
    <n v="1"/>
    <n v="10.432989288156399"/>
    <n v="0"/>
    <n v="0.95"/>
    <n v="4E+20"/>
    <n v="10.432989288156399"/>
    <n v="10.432989288156399"/>
    <n v="0.65700408252121201"/>
    <n v="54.6320374691865"/>
    <n v="1167"/>
    <n v="1.4875629718619401"/>
    <n v="1"/>
    <n v="1"/>
  </r>
  <r>
    <x v="0"/>
    <s v="2026-02-25 20:43:41"/>
    <n v="1"/>
    <x v="6"/>
    <x v="4"/>
    <x v="1"/>
    <n v="0.93489860039988404"/>
    <n v="3E+20"/>
    <n v="1.33333333333212E-2"/>
    <n v="1"/>
    <n v="1167"/>
    <s v="Unnamed ProjectPallTransfer TimeEntity"/>
    <n v="1"/>
    <n v="0.93489860039988404"/>
    <n v="0"/>
    <n v="0.95"/>
    <n v="4E+20"/>
    <n v="0.93489860039988404"/>
    <n v="0.93489860039988404"/>
    <n v="1.33333333333212E-2"/>
    <n v="1"/>
    <n v="1167"/>
    <n v="3E+20"/>
    <n v="1"/>
    <n v="1"/>
  </r>
  <r>
    <x v="0"/>
    <s v="2026-02-25 20:43:41"/>
    <n v="1"/>
    <x v="6"/>
    <x v="5"/>
    <x v="1"/>
    <n v="0.29810767297962598"/>
    <n v="4.1685674596885899E-3"/>
    <n v="0.20017285492178899"/>
    <n v="0.39955073406596098"/>
    <n v="1167"/>
    <s v="Unnamed ProjectPallVA TimeEntity"/>
    <n v="1"/>
    <n v="0.29810767297962598"/>
    <n v="0"/>
    <n v="0.95"/>
    <n v="4E+20"/>
    <n v="0.29810767297962598"/>
    <n v="0.29810767297962598"/>
    <n v="0.20017285492178899"/>
    <n v="0.39955073406596098"/>
    <n v="1167"/>
    <n v="4.1685674596885899E-3"/>
    <n v="1"/>
    <n v="1"/>
  </r>
  <r>
    <x v="0"/>
    <s v="2026-02-25 20:43:41"/>
    <n v="1"/>
    <x v="6"/>
    <x v="6"/>
    <x v="1"/>
    <n v="8.8513097267709195"/>
    <n v="1.4850825805536201"/>
    <n v="1.33333333333212E-2"/>
    <n v="52.973025001834301"/>
    <n v="1167"/>
    <s v="Unnamed ProjectPallWait TimeEntity"/>
    <n v="1"/>
    <n v="8.8513097267709195"/>
    <n v="0"/>
    <n v="0.95"/>
    <n v="4E+20"/>
    <n v="8.8513097267709195"/>
    <n v="8.8513097267709195"/>
    <n v="1.33333333333212E-2"/>
    <n v="52.973025001834301"/>
    <n v="1167"/>
    <n v="1.4850825805536201"/>
    <n v="1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6-02-25 20:43:41"/>
    <n v="1"/>
    <x v="0"/>
    <x v="0"/>
    <x v="0"/>
    <n v="1265"/>
    <n v="0"/>
    <s v="Unnamed ProjectLastbil.NumberInNumber InEntity"/>
    <n v="1"/>
    <n v="1265"/>
    <n v="0"/>
    <n v="0.95"/>
    <n v="4E+20"/>
    <n v="1265"/>
    <n v="1265"/>
  </r>
  <r>
    <x v="0"/>
    <s v="2026-02-25 20:43:41"/>
    <n v="1"/>
    <x v="1"/>
    <x v="1"/>
    <x v="0"/>
    <n v="1265"/>
    <n v="0"/>
    <s v="Unnamed ProjectLastbil.NumberOutNumber OutEntity"/>
    <n v="1"/>
    <n v="1265"/>
    <n v="0"/>
    <n v="0.95"/>
    <n v="4E+20"/>
    <n v="1265"/>
    <n v="1265"/>
  </r>
  <r>
    <x v="0"/>
    <s v="2026-02-25 20:43:41"/>
    <n v="1"/>
    <x v="2"/>
    <x v="0"/>
    <x v="0"/>
    <n v="1185"/>
    <n v="0"/>
    <s v="Unnamed ProjectPall.NumberInNumber InEntity"/>
    <n v="1"/>
    <n v="1185"/>
    <n v="0"/>
    <n v="0.95"/>
    <n v="4E+20"/>
    <n v="1185"/>
    <n v="1185"/>
  </r>
  <r>
    <x v="0"/>
    <s v="2026-02-25 20:43:41"/>
    <n v="1"/>
    <x v="3"/>
    <x v="1"/>
    <x v="0"/>
    <n v="1167"/>
    <n v="0"/>
    <s v="Unnamed ProjectPall.NumberOutNumber OutEntity"/>
    <n v="1"/>
    <n v="1167"/>
    <n v="0"/>
    <n v="0.95"/>
    <n v="4E+20"/>
    <n v="1167"/>
    <n v="1167"/>
  </r>
  <r>
    <x v="0"/>
    <s v="2026-02-25 20:43:41"/>
    <n v="1"/>
    <x v="4"/>
    <x v="1"/>
    <x v="1"/>
    <n v="1247"/>
    <n v="0"/>
    <s v="Unnamed ProjectSystem.NumberOutNumber OutSystem"/>
    <n v="1"/>
    <n v="1247"/>
    <n v="0"/>
    <n v="0.95"/>
    <n v="4E+20"/>
    <n v="1247"/>
    <n v="124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6-02-25 20:43:41"/>
    <n v="1"/>
    <x v="0"/>
    <x v="0"/>
    <x v="0"/>
    <n v="2.5189945971527901"/>
    <n v="2E+20"/>
    <n v="0"/>
    <n v="20"/>
    <n v="7"/>
    <n v="0"/>
    <s v="Unnamed ProjectBegar Truck Brygga 1.QueueNumber WaitingQueue"/>
    <n v="1"/>
    <n v="2.5189945971527901"/>
    <n v="0"/>
    <n v="0.95"/>
    <n v="4E+20"/>
    <n v="2.5189945971527901"/>
    <n v="2.5189945971527901"/>
    <n v="2E+20"/>
  </r>
  <r>
    <x v="0"/>
    <s v="2026-02-25 20:43:41"/>
    <n v="1"/>
    <x v="1"/>
    <x v="0"/>
    <x v="0"/>
    <n v="2.5235928780096701"/>
    <n v="2E+20"/>
    <n v="0"/>
    <n v="17"/>
    <n v="6"/>
    <n v="0"/>
    <s v="Unnamed ProjectBegar Truck Brygga 2.QueueNumber WaitingQueue"/>
    <n v="1"/>
    <n v="2.5235928780096701"/>
    <n v="0"/>
    <n v="0.95"/>
    <n v="4E+20"/>
    <n v="2.5235928780096701"/>
    <n v="2.5235928780096701"/>
    <n v="2E+20"/>
  </r>
  <r>
    <x v="0"/>
    <s v="2026-02-25 20:43:41"/>
    <n v="1"/>
    <x v="2"/>
    <x v="0"/>
    <x v="0"/>
    <n v="2.5329431831334501"/>
    <n v="2E+20"/>
    <n v="0"/>
    <n v="21"/>
    <n v="0"/>
    <n v="0"/>
    <s v="Unnamed ProjectBegar Truck Brygga 3.QueueNumber WaitingQueue"/>
    <n v="1"/>
    <n v="2.5329431831334501"/>
    <n v="0"/>
    <n v="0.95"/>
    <n v="4E+20"/>
    <n v="2.5329431831334501"/>
    <n v="2.5329431831334501"/>
    <n v="2E+20"/>
  </r>
  <r>
    <x v="0"/>
    <s v="2026-02-25 20:43:41"/>
    <n v="1"/>
    <x v="3"/>
    <x v="0"/>
    <x v="0"/>
    <n v="3.1086633604141798"/>
    <n v="2E+20"/>
    <n v="0"/>
    <n v="20"/>
    <n v="0"/>
    <n v="0"/>
    <s v="Unnamed ProjectBegar Truck Brygga 4.QueueNumber WaitingQueue"/>
    <n v="1"/>
    <n v="3.1086633604141798"/>
    <n v="0"/>
    <n v="0.95"/>
    <n v="4E+20"/>
    <n v="3.1086633604141798"/>
    <n v="3.1086633604141798"/>
    <n v="2E+20"/>
  </r>
  <r>
    <x v="0"/>
    <s v="2026-02-25 20:43:41"/>
    <n v="1"/>
    <x v="4"/>
    <x v="0"/>
    <x v="0"/>
    <n v="2.34088262046494"/>
    <n v="2E+20"/>
    <n v="0"/>
    <n v="21"/>
    <n v="0"/>
    <n v="0"/>
    <s v="Unnamed ProjectBegar Truck Brygga 5.QueueNumber WaitingQueue"/>
    <n v="1"/>
    <n v="2.34088262046494"/>
    <n v="0"/>
    <n v="0.95"/>
    <n v="4E+20"/>
    <n v="2.34088262046494"/>
    <n v="2.34088262046494"/>
    <n v="2E+20"/>
  </r>
  <r>
    <x v="0"/>
    <s v="2026-02-25 20:43:41"/>
    <n v="1"/>
    <x v="5"/>
    <x v="1"/>
    <x v="1"/>
    <n v="0"/>
    <n v="2E+20"/>
    <n v="0"/>
    <n v="21"/>
    <n v="0"/>
    <n v="0"/>
    <s v="Unnamed ProjectLastbilWIPEntity"/>
    <n v="1"/>
    <n v="0"/>
    <n v="0"/>
    <n v="0.95"/>
    <n v="4E+20"/>
    <n v="0"/>
    <n v="0"/>
    <n v="2E+20"/>
  </r>
  <r>
    <x v="0"/>
    <s v="2026-02-25 20:43:41"/>
    <n v="1"/>
    <x v="6"/>
    <x v="1"/>
    <x v="1"/>
    <n v="17.046301081055201"/>
    <n v="3.6324030859030501"/>
    <n v="0"/>
    <n v="61"/>
    <n v="18"/>
    <n v="0"/>
    <s v="Unnamed ProjectPallWIPEntity"/>
    <n v="1"/>
    <n v="17.046301081055201"/>
    <n v="0"/>
    <n v="0.95"/>
    <n v="4E+20"/>
    <n v="17.046301081055201"/>
    <n v="17.046301081055201"/>
    <n v="3.63240308590305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5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6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6">
        <item m="1" x="17"/>
        <item m="1" x="40"/>
        <item m="1" x="12"/>
        <item m="1" x="92"/>
        <item m="1" x="75"/>
        <item m="1" x="45"/>
        <item m="1" x="101"/>
        <item m="1" x="33"/>
        <item m="1" x="37"/>
        <item m="1" x="104"/>
        <item m="1" x="70"/>
        <item m="1" x="82"/>
        <item m="1" x="87"/>
        <item m="1" x="11"/>
        <item m="1" x="39"/>
        <item m="1" x="29"/>
        <item m="1" x="105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7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5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7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7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8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m="1" x="6"/>
        <item m="1" x="4"/>
        <item m="1" x="3"/>
        <item x="0"/>
        <item x="1"/>
        <item m="1" x="5"/>
        <item m="1" x="2"/>
      </items>
    </pivotField>
    <pivotField axis="axisRow" compact="0" outline="0" showAll="0" defaultSubtotal="0">
      <items count="5">
        <item x="1"/>
        <item x="0"/>
        <item m="1" x="3"/>
        <item m="1" x="4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4"/>
      <x/>
    </i>
    <i r="1">
      <x v="130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8" tableType="queryTable" totalsRowShown="0">
  <autoFilter ref="A1:Y18" xr:uid="{C3D003CA-1AFF-426C-A03D-D3AF5760DF1A}"/>
  <sortState xmlns:xlrd2="http://schemas.microsoft.com/office/spreadsheetml/2017/richdata2" ref="A2:Y18">
    <sortCondition ref="D1:D1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8" tableType="queryTable" totalsRowShown="0">
  <autoFilter ref="A1:U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5" x14ac:dyDescent="0.35"/>
  <cols>
    <col min="1" max="1" width="15.26953125" bestFit="1" customWidth="1"/>
    <col min="2" max="2" width="73.90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1</v>
      </c>
      <c r="F2">
        <v>720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9"/>
  <sheetViews>
    <sheetView tabSelected="1" workbookViewId="0"/>
  </sheetViews>
  <sheetFormatPr defaultRowHeight="14.5" x14ac:dyDescent="0.35"/>
  <cols>
    <col min="1" max="1" width="33.26953125" customWidth="1"/>
    <col min="2" max="2" width="28.72656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7265625" bestFit="1" customWidth="1"/>
    <col min="15" max="15" width="18.72656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26953125" bestFit="1" customWidth="1"/>
    <col min="27" max="27" width="20.7265625" bestFit="1" customWidth="1"/>
    <col min="28" max="28" width="24.72656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81640625" bestFit="1" customWidth="1"/>
    <col min="37" max="37" width="32.26953125" bestFit="1" customWidth="1"/>
    <col min="38" max="38" width="24.72656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81640625" bestFit="1" customWidth="1"/>
    <col min="47" max="47" width="14.81640625" bestFit="1" customWidth="1"/>
    <col min="48" max="48" width="20.7265625" bestFit="1" customWidth="1"/>
    <col min="49" max="49" width="26.26953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81640625" bestFit="1" customWidth="1"/>
    <col min="55" max="55" width="29.26953125" bestFit="1" customWidth="1"/>
    <col min="56" max="56" width="31.81640625" bestFit="1" customWidth="1"/>
    <col min="57" max="57" width="21.7265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7.5272074355146597</v>
      </c>
      <c r="F3" s="5">
        <v>1</v>
      </c>
      <c r="G3" s="5">
        <v>2E+20</v>
      </c>
      <c r="H3" s="5">
        <v>0</v>
      </c>
      <c r="I3" s="5">
        <v>7.5272074355146597</v>
      </c>
      <c r="J3" s="5">
        <v>7.5272074355146597</v>
      </c>
      <c r="K3" s="5">
        <v>0</v>
      </c>
      <c r="L3" s="5">
        <v>51.759973420008997</v>
      </c>
      <c r="M3" s="5">
        <v>236</v>
      </c>
      <c r="O3" t="s">
        <v>66</v>
      </c>
      <c r="P3" t="s">
        <v>70</v>
      </c>
      <c r="Q3" t="s">
        <v>86</v>
      </c>
      <c r="R3" t="s">
        <v>72</v>
      </c>
      <c r="S3" s="5">
        <v>2.5189945971527901</v>
      </c>
      <c r="T3" s="5">
        <v>2E+20</v>
      </c>
      <c r="U3" s="5">
        <v>0</v>
      </c>
      <c r="V3" s="5">
        <v>2.5189945971527901</v>
      </c>
      <c r="W3" s="5">
        <v>2.5189945971527901</v>
      </c>
      <c r="X3" s="5">
        <v>0</v>
      </c>
      <c r="Y3" s="5">
        <v>20</v>
      </c>
      <c r="AA3" t="s">
        <v>96</v>
      </c>
      <c r="AB3" t="s">
        <v>96</v>
      </c>
      <c r="AC3" t="s">
        <v>96</v>
      </c>
      <c r="AD3" t="s">
        <v>96</v>
      </c>
      <c r="AE3" s="5"/>
      <c r="AF3" s="5"/>
      <c r="AG3" s="5"/>
      <c r="AH3" s="5"/>
      <c r="AI3" s="5"/>
      <c r="AK3" t="s">
        <v>66</v>
      </c>
      <c r="AL3" t="s">
        <v>94</v>
      </c>
      <c r="AM3" t="s">
        <v>91</v>
      </c>
      <c r="AN3" t="s">
        <v>95</v>
      </c>
      <c r="AO3" s="5">
        <v>1247</v>
      </c>
      <c r="AP3" s="5">
        <v>4E+20</v>
      </c>
      <c r="AQ3" s="5">
        <v>0</v>
      </c>
      <c r="AR3" s="5">
        <v>1247</v>
      </c>
      <c r="AS3" s="5">
        <v>1247</v>
      </c>
      <c r="AU3" t="s">
        <v>96</v>
      </c>
      <c r="AV3" t="s">
        <v>96</v>
      </c>
      <c r="AW3" t="s">
        <v>96</v>
      </c>
      <c r="AX3" t="s">
        <v>96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8.1780485017186901</v>
      </c>
      <c r="F4" s="5">
        <v>1</v>
      </c>
      <c r="G4" s="5">
        <v>2E+20</v>
      </c>
      <c r="H4" s="5">
        <v>0</v>
      </c>
      <c r="I4" s="5">
        <v>8.1780485017186901</v>
      </c>
      <c r="J4" s="5">
        <v>8.1780485017186901</v>
      </c>
      <c r="K4" s="5">
        <v>0</v>
      </c>
      <c r="L4" s="5">
        <v>43.473996759739698</v>
      </c>
      <c r="M4" s="5">
        <v>218</v>
      </c>
      <c r="P4" t="s">
        <v>73</v>
      </c>
      <c r="Q4" t="s">
        <v>86</v>
      </c>
      <c r="R4" t="s">
        <v>72</v>
      </c>
      <c r="S4" s="5">
        <v>2.5235928780096701</v>
      </c>
      <c r="T4" s="5">
        <v>2E+20</v>
      </c>
      <c r="U4" s="5">
        <v>0</v>
      </c>
      <c r="V4" s="5">
        <v>2.5235928780096701</v>
      </c>
      <c r="W4" s="5">
        <v>2.5235928780096701</v>
      </c>
      <c r="X4" s="5">
        <v>0</v>
      </c>
      <c r="Y4" s="5">
        <v>17</v>
      </c>
      <c r="AL4" t="s">
        <v>88</v>
      </c>
      <c r="AM4" t="s">
        <v>89</v>
      </c>
      <c r="AN4" t="s">
        <v>79</v>
      </c>
      <c r="AO4" s="5">
        <v>1265</v>
      </c>
      <c r="AP4" s="5">
        <v>4E+20</v>
      </c>
      <c r="AQ4" s="5">
        <v>0</v>
      </c>
      <c r="AR4" s="5">
        <v>1265</v>
      </c>
      <c r="AS4" s="5">
        <v>1265</v>
      </c>
    </row>
    <row r="5" spans="1:52" x14ac:dyDescent="0.35">
      <c r="B5" t="s">
        <v>74</v>
      </c>
      <c r="C5" t="s">
        <v>71</v>
      </c>
      <c r="D5" t="s">
        <v>72</v>
      </c>
      <c r="E5" s="5">
        <v>8.8102371587250392</v>
      </c>
      <c r="F5" s="5">
        <v>1</v>
      </c>
      <c r="G5" s="5">
        <v>2E+20</v>
      </c>
      <c r="H5" s="5">
        <v>0</v>
      </c>
      <c r="I5" s="5">
        <v>8.8102371587250392</v>
      </c>
      <c r="J5" s="5">
        <v>8.8102371587250392</v>
      </c>
      <c r="K5" s="5">
        <v>0</v>
      </c>
      <c r="L5" s="5">
        <v>43.770750972697002</v>
      </c>
      <c r="M5" s="5">
        <v>207</v>
      </c>
      <c r="P5" t="s">
        <v>74</v>
      </c>
      <c r="Q5" t="s">
        <v>86</v>
      </c>
      <c r="R5" t="s">
        <v>72</v>
      </c>
      <c r="S5" s="5">
        <v>2.5329431831334501</v>
      </c>
      <c r="T5" s="5">
        <v>2E+20</v>
      </c>
      <c r="U5" s="5">
        <v>0</v>
      </c>
      <c r="V5" s="5">
        <v>2.5329431831334501</v>
      </c>
      <c r="W5" s="5">
        <v>2.5329431831334501</v>
      </c>
      <c r="X5" s="5">
        <v>0</v>
      </c>
      <c r="Y5" s="5">
        <v>21</v>
      </c>
      <c r="AL5" t="s">
        <v>90</v>
      </c>
      <c r="AM5" t="s">
        <v>91</v>
      </c>
      <c r="AN5" t="s">
        <v>79</v>
      </c>
      <c r="AO5" s="5">
        <v>1265</v>
      </c>
      <c r="AP5" s="5">
        <v>4E+20</v>
      </c>
      <c r="AQ5" s="5">
        <v>0</v>
      </c>
      <c r="AR5" s="5">
        <v>1265</v>
      </c>
      <c r="AS5" s="5">
        <v>1265</v>
      </c>
    </row>
    <row r="6" spans="1:52" x14ac:dyDescent="0.35">
      <c r="B6" t="s">
        <v>75</v>
      </c>
      <c r="C6" t="s">
        <v>71</v>
      </c>
      <c r="D6" t="s">
        <v>72</v>
      </c>
      <c r="E6" s="5">
        <v>8.3205859460899898</v>
      </c>
      <c r="F6" s="5">
        <v>1</v>
      </c>
      <c r="G6" s="5">
        <v>2E+20</v>
      </c>
      <c r="H6" s="5">
        <v>0</v>
      </c>
      <c r="I6" s="5">
        <v>8.3205859460899898</v>
      </c>
      <c r="J6" s="5">
        <v>8.3205859460899898</v>
      </c>
      <c r="K6" s="5">
        <v>0</v>
      </c>
      <c r="L6" s="5">
        <v>41.206756624082601</v>
      </c>
      <c r="M6" s="5">
        <v>269</v>
      </c>
      <c r="P6" t="s">
        <v>75</v>
      </c>
      <c r="Q6" t="s">
        <v>86</v>
      </c>
      <c r="R6" t="s">
        <v>72</v>
      </c>
      <c r="S6" s="5">
        <v>3.1086633604141798</v>
      </c>
      <c r="T6" s="5">
        <v>2E+20</v>
      </c>
      <c r="U6" s="5">
        <v>0</v>
      </c>
      <c r="V6" s="5">
        <v>3.1086633604141798</v>
      </c>
      <c r="W6" s="5">
        <v>3.1086633604141798</v>
      </c>
      <c r="X6" s="5">
        <v>0</v>
      </c>
      <c r="Y6" s="5">
        <v>20</v>
      </c>
      <c r="AL6" t="s">
        <v>92</v>
      </c>
      <c r="AM6" t="s">
        <v>89</v>
      </c>
      <c r="AN6" t="s">
        <v>79</v>
      </c>
      <c r="AO6" s="5">
        <v>1185</v>
      </c>
      <c r="AP6" s="5">
        <v>4E+20</v>
      </c>
      <c r="AQ6" s="5">
        <v>0</v>
      </c>
      <c r="AR6" s="5">
        <v>1185</v>
      </c>
      <c r="AS6" s="5">
        <v>1185</v>
      </c>
    </row>
    <row r="7" spans="1:52" x14ac:dyDescent="0.35">
      <c r="B7" t="s">
        <v>76</v>
      </c>
      <c r="C7" t="s">
        <v>71</v>
      </c>
      <c r="D7" t="s">
        <v>72</v>
      </c>
      <c r="E7" s="5">
        <v>6.9646094493171802</v>
      </c>
      <c r="F7" s="5">
        <v>1</v>
      </c>
      <c r="G7" s="5">
        <v>2E+20</v>
      </c>
      <c r="H7" s="5">
        <v>0</v>
      </c>
      <c r="I7" s="5">
        <v>6.9646094493171802</v>
      </c>
      <c r="J7" s="5">
        <v>6.9646094493171802</v>
      </c>
      <c r="K7" s="5">
        <v>0</v>
      </c>
      <c r="L7" s="5">
        <v>51.973025001834301</v>
      </c>
      <c r="M7" s="5">
        <v>242</v>
      </c>
      <c r="P7" t="s">
        <v>76</v>
      </c>
      <c r="Q7" t="s">
        <v>86</v>
      </c>
      <c r="R7" t="s">
        <v>72</v>
      </c>
      <c r="S7" s="5">
        <v>2.34088262046494</v>
      </c>
      <c r="T7" s="5">
        <v>2E+20</v>
      </c>
      <c r="U7" s="5">
        <v>0</v>
      </c>
      <c r="V7" s="5">
        <v>2.34088262046494</v>
      </c>
      <c r="W7" s="5">
        <v>2.34088262046494</v>
      </c>
      <c r="X7" s="5">
        <v>0</v>
      </c>
      <c r="Y7" s="5">
        <v>21</v>
      </c>
      <c r="AL7" t="s">
        <v>93</v>
      </c>
      <c r="AM7" t="s">
        <v>91</v>
      </c>
      <c r="AN7" t="s">
        <v>79</v>
      </c>
      <c r="AO7" s="5">
        <v>1167</v>
      </c>
      <c r="AP7" s="5">
        <v>4E+20</v>
      </c>
      <c r="AQ7" s="5">
        <v>0</v>
      </c>
      <c r="AR7" s="5">
        <v>1167</v>
      </c>
      <c r="AS7" s="5">
        <v>1167</v>
      </c>
    </row>
    <row r="8" spans="1:52" x14ac:dyDescent="0.35">
      <c r="B8" t="s">
        <v>77</v>
      </c>
      <c r="C8" t="s">
        <v>78</v>
      </c>
      <c r="D8" t="s">
        <v>79</v>
      </c>
      <c r="E8" s="5">
        <v>0</v>
      </c>
      <c r="F8" s="5">
        <v>1</v>
      </c>
      <c r="G8" s="5">
        <v>2E+20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80</v>
      </c>
      <c r="P8" t="s">
        <v>77</v>
      </c>
      <c r="Q8" t="s">
        <v>87</v>
      </c>
      <c r="R8" t="s">
        <v>79</v>
      </c>
      <c r="S8" s="5">
        <v>0</v>
      </c>
      <c r="T8" s="5">
        <v>2E+20</v>
      </c>
      <c r="U8" s="5">
        <v>0</v>
      </c>
      <c r="V8" s="5">
        <v>0</v>
      </c>
      <c r="W8" s="5">
        <v>0</v>
      </c>
      <c r="X8" s="5">
        <v>0</v>
      </c>
      <c r="Y8" s="5">
        <v>21</v>
      </c>
    </row>
    <row r="9" spans="1:52" x14ac:dyDescent="0.35">
      <c r="C9" t="s">
        <v>80</v>
      </c>
      <c r="D9" t="s">
        <v>79</v>
      </c>
      <c r="E9" s="5">
        <v>0</v>
      </c>
      <c r="F9" s="5">
        <v>1</v>
      </c>
      <c r="G9" s="5">
        <v>2E+20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80</v>
      </c>
      <c r="P9" t="s">
        <v>85</v>
      </c>
      <c r="Q9" t="s">
        <v>87</v>
      </c>
      <c r="R9" t="s">
        <v>79</v>
      </c>
      <c r="S9" s="5">
        <v>17.046301081055201</v>
      </c>
      <c r="T9" s="5">
        <v>3.6324030859030501</v>
      </c>
      <c r="U9" s="5">
        <v>0</v>
      </c>
      <c r="V9" s="5">
        <v>17.046301081055201</v>
      </c>
      <c r="W9" s="5">
        <v>17.046301081055201</v>
      </c>
      <c r="X9" s="5">
        <v>0</v>
      </c>
      <c r="Y9" s="5">
        <v>61</v>
      </c>
    </row>
    <row r="10" spans="1:52" x14ac:dyDescent="0.35">
      <c r="C10" t="s">
        <v>81</v>
      </c>
      <c r="D10" t="s">
        <v>79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80</v>
      </c>
    </row>
    <row r="11" spans="1:52" x14ac:dyDescent="0.35">
      <c r="C11" t="s">
        <v>82</v>
      </c>
      <c r="D11" t="s">
        <v>79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80</v>
      </c>
    </row>
    <row r="12" spans="1:52" x14ac:dyDescent="0.35">
      <c r="C12" t="s">
        <v>83</v>
      </c>
      <c r="D12" t="s">
        <v>79</v>
      </c>
      <c r="E12" s="5">
        <v>0</v>
      </c>
      <c r="F12" s="5">
        <v>1</v>
      </c>
      <c r="G12" s="5">
        <v>2E+20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80</v>
      </c>
    </row>
    <row r="13" spans="1:52" x14ac:dyDescent="0.35">
      <c r="C13" t="s">
        <v>84</v>
      </c>
      <c r="D13" t="s">
        <v>79</v>
      </c>
      <c r="E13" s="5">
        <v>0</v>
      </c>
      <c r="F13" s="5">
        <v>1</v>
      </c>
      <c r="G13" s="5">
        <v>2E+20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80</v>
      </c>
    </row>
    <row r="14" spans="1:52" x14ac:dyDescent="0.35">
      <c r="B14" t="s">
        <v>85</v>
      </c>
      <c r="C14" t="s">
        <v>78</v>
      </c>
      <c r="D14" t="s">
        <v>79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1167</v>
      </c>
    </row>
    <row r="15" spans="1:52" x14ac:dyDescent="0.35">
      <c r="C15" t="s">
        <v>80</v>
      </c>
      <c r="D15" t="s">
        <v>79</v>
      </c>
      <c r="E15" s="5">
        <v>0.34867328800595099</v>
      </c>
      <c r="F15" s="5">
        <v>1</v>
      </c>
      <c r="G15" s="5">
        <v>1.5052435131784299E-3</v>
      </c>
      <c r="H15" s="5">
        <v>0</v>
      </c>
      <c r="I15" s="5">
        <v>0.34867328800595099</v>
      </c>
      <c r="J15" s="5">
        <v>0.34867328800595099</v>
      </c>
      <c r="K15" s="5">
        <v>0.30012884671498302</v>
      </c>
      <c r="L15" s="5">
        <v>0.39979416727018702</v>
      </c>
      <c r="M15" s="5">
        <v>1167</v>
      </c>
    </row>
    <row r="16" spans="1:52" x14ac:dyDescent="0.35">
      <c r="C16" t="s">
        <v>81</v>
      </c>
      <c r="D16" t="s">
        <v>79</v>
      </c>
      <c r="E16" s="5">
        <v>10.432989288156399</v>
      </c>
      <c r="F16" s="5">
        <v>1</v>
      </c>
      <c r="G16" s="5">
        <v>1.4875629718619401</v>
      </c>
      <c r="H16" s="5">
        <v>0</v>
      </c>
      <c r="I16" s="5">
        <v>10.432989288156399</v>
      </c>
      <c r="J16" s="5">
        <v>10.432989288156399</v>
      </c>
      <c r="K16" s="5">
        <v>0.65700408252121201</v>
      </c>
      <c r="L16" s="5">
        <v>54.6320374691865</v>
      </c>
      <c r="M16" s="5">
        <v>1167</v>
      </c>
    </row>
    <row r="17" spans="3:13" x14ac:dyDescent="0.35">
      <c r="C17" t="s">
        <v>82</v>
      </c>
      <c r="D17" t="s">
        <v>79</v>
      </c>
      <c r="E17" s="5">
        <v>0.93489860039988404</v>
      </c>
      <c r="F17" s="5">
        <v>1</v>
      </c>
      <c r="G17" s="5">
        <v>3E+20</v>
      </c>
      <c r="H17" s="5">
        <v>0</v>
      </c>
      <c r="I17" s="5">
        <v>0.93489860039988404</v>
      </c>
      <c r="J17" s="5">
        <v>0.93489860039988404</v>
      </c>
      <c r="K17" s="5">
        <v>1.33333333333212E-2</v>
      </c>
      <c r="L17" s="5">
        <v>1</v>
      </c>
      <c r="M17" s="5">
        <v>1167</v>
      </c>
    </row>
    <row r="18" spans="3:13" x14ac:dyDescent="0.35">
      <c r="C18" t="s">
        <v>83</v>
      </c>
      <c r="D18" t="s">
        <v>79</v>
      </c>
      <c r="E18" s="5">
        <v>0.29810767297962598</v>
      </c>
      <c r="F18" s="5">
        <v>1</v>
      </c>
      <c r="G18" s="5">
        <v>4.1685674596885899E-3</v>
      </c>
      <c r="H18" s="5">
        <v>0</v>
      </c>
      <c r="I18" s="5">
        <v>0.29810767297962598</v>
      </c>
      <c r="J18" s="5">
        <v>0.29810767297962598</v>
      </c>
      <c r="K18" s="5">
        <v>0.20017285492178899</v>
      </c>
      <c r="L18" s="5">
        <v>0.39955073406596098</v>
      </c>
      <c r="M18" s="5">
        <v>1167</v>
      </c>
    </row>
    <row r="19" spans="3:13" x14ac:dyDescent="0.35">
      <c r="C19" t="s">
        <v>84</v>
      </c>
      <c r="D19" t="s">
        <v>79</v>
      </c>
      <c r="E19" s="5">
        <v>8.8513097267709195</v>
      </c>
      <c r="F19" s="5">
        <v>1</v>
      </c>
      <c r="G19" s="5">
        <v>1.4850825805536201</v>
      </c>
      <c r="H19" s="5">
        <v>0</v>
      </c>
      <c r="I19" s="5">
        <v>8.8513097267709195</v>
      </c>
      <c r="J19" s="5">
        <v>8.8513097267709195</v>
      </c>
      <c r="K19" s="5">
        <v>1.33333333333212E-2</v>
      </c>
      <c r="L19" s="5">
        <v>52.973025001834301</v>
      </c>
      <c r="M19" s="5">
        <v>1167</v>
      </c>
    </row>
  </sheetData>
  <dataConsolidate/>
  <conditionalFormatting pivot="1" sqref="G3:G19">
    <cfRule type="expression" dxfId="31" priority="14">
      <formula>G3=200000000000000000000</formula>
    </cfRule>
  </conditionalFormatting>
  <conditionalFormatting pivot="1" sqref="T3:T9">
    <cfRule type="expression" dxfId="30" priority="13">
      <formula>T3=200000000000000000000</formula>
    </cfRule>
  </conditionalFormatting>
  <conditionalFormatting pivot="1" sqref="T3:T9">
    <cfRule type="expression" dxfId="29" priority="12">
      <formula>T3=300000000000000000000</formula>
    </cfRule>
  </conditionalFormatting>
  <conditionalFormatting pivot="1" sqref="G3:G19">
    <cfRule type="expression" dxfId="28" priority="11">
      <formula>G3=300000000000000000000</formula>
    </cfRule>
  </conditionalFormatting>
  <conditionalFormatting pivot="1" sqref="F3:F19">
    <cfRule type="expression" dxfId="27" priority="10">
      <formula>F3=0</formula>
    </cfRule>
  </conditionalFormatting>
  <conditionalFormatting pivot="1" sqref="F3:F19">
    <cfRule type="expression" dxfId="26" priority="9">
      <formula>F3=1</formula>
    </cfRule>
  </conditionalFormatting>
  <conditionalFormatting pivot="1" sqref="T3:T9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8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36328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55.90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7.5272074355146597</v>
      </c>
      <c r="H2">
        <v>2E+20</v>
      </c>
      <c r="I2">
        <v>0</v>
      </c>
      <c r="J2">
        <v>51.759973420008997</v>
      </c>
      <c r="K2">
        <v>236</v>
      </c>
      <c r="L2" t="str">
        <f>DiscreteStatsTable[[#This Row],[ProjectName]]&amp;DiscreteStatsTable[[#This Row],[Name]]&amp;DiscreteStatsTable[[#This Row],[Type]]&amp;DiscreteStatsTable[[#This Row],[Source]]</f>
        <v>Unnamed ProjectBegar Truck Brygga 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7.5272074355146597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7.5272074355146597</v>
      </c>
      <c r="S2" cm="1">
        <f t="array" ref="S2">MAX(IF((DiscreteStatsTable[GroupByKey]=DiscreteStatsTable[[#This Row],[GroupByKey]]),(DiscreteStatsTable[GroupByKey]=DiscreteStatsTable[[#This Row],[GroupByKey]])*DiscreteStatsTable[Average]))</f>
        <v>7.5272074355146597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51.759973420008997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236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8.1780485017186901</v>
      </c>
      <c r="H3">
        <v>2E+20</v>
      </c>
      <c r="I3">
        <v>0</v>
      </c>
      <c r="J3">
        <v>43.473996759739698</v>
      </c>
      <c r="K3">
        <v>218</v>
      </c>
      <c r="L3" t="str">
        <f>DiscreteStatsTable[[#This Row],[ProjectName]]&amp;DiscreteStatsTable[[#This Row],[Name]]&amp;DiscreteStatsTable[[#This Row],[Type]]&amp;DiscreteStatsTable[[#This Row],[Source]]</f>
        <v>Unnamed ProjectBegar Truck Brygga 2.QueueWaiting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8.1780485017186901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8.1780485017186901</v>
      </c>
      <c r="S3" cm="1">
        <f t="array" ref="S3">MAX(IF((DiscreteStatsTable[GroupByKey]=DiscreteStatsTable[[#This Row],[GroupByKey]]),(DiscreteStatsTable[GroupByKey]=DiscreteStatsTable[[#This Row],[GroupByKey]])*DiscreteStatsTable[Average]))</f>
        <v>8.1780485017186901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43.473996759739698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218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8.8102371587250392</v>
      </c>
      <c r="H4">
        <v>2E+20</v>
      </c>
      <c r="I4">
        <v>0</v>
      </c>
      <c r="J4">
        <v>43.770750972697002</v>
      </c>
      <c r="K4">
        <v>207</v>
      </c>
      <c r="L4" t="str">
        <f>DiscreteStatsTable[[#This Row],[ProjectName]]&amp;DiscreteStatsTable[[#This Row],[Name]]&amp;DiscreteStatsTable[[#This Row],[Type]]&amp;DiscreteStatsTable[[#This Row],[Source]]</f>
        <v>Unnamed ProjectBegar Truck Brygga 3.QueueWaiting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8.8102371587250392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8.8102371587250392</v>
      </c>
      <c r="S4" cm="1">
        <f t="array" ref="S4">MAX(IF((DiscreteStatsTable[GroupByKey]=DiscreteStatsTable[[#This Row],[GroupByKey]]),(DiscreteStatsTable[GroupByKey]=DiscreteStatsTable[[#This Row],[GroupByKey]])*DiscreteStatsTable[Average]))</f>
        <v>8.8102371587250392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43.770750972697002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207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8.3205859460899898</v>
      </c>
      <c r="H5">
        <v>2E+20</v>
      </c>
      <c r="I5">
        <v>0</v>
      </c>
      <c r="J5">
        <v>41.206756624082601</v>
      </c>
      <c r="K5">
        <v>269</v>
      </c>
      <c r="L5" t="str">
        <f>DiscreteStatsTable[[#This Row],[ProjectName]]&amp;DiscreteStatsTable[[#This Row],[Name]]&amp;DiscreteStatsTable[[#This Row],[Type]]&amp;DiscreteStatsTable[[#This Row],[Source]]</f>
        <v>Unnamed ProjectBegar Truck Brygga 4.QueueWaiting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8.3205859460899898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8.3205859460899898</v>
      </c>
      <c r="S5" cm="1">
        <f t="array" ref="S5">MAX(IF((DiscreteStatsTable[GroupByKey]=DiscreteStatsTable[[#This Row],[GroupByKey]]),(DiscreteStatsTable[GroupByKey]=DiscreteStatsTable[[#This Row],[GroupByKey]])*DiscreteStatsTable[Average]))</f>
        <v>8.3205859460899898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41.206756624082601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269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76</v>
      </c>
      <c r="E6" t="s">
        <v>71</v>
      </c>
      <c r="F6" t="s">
        <v>72</v>
      </c>
      <c r="G6">
        <v>6.9646094493171802</v>
      </c>
      <c r="H6">
        <v>2E+20</v>
      </c>
      <c r="I6">
        <v>0</v>
      </c>
      <c r="J6">
        <v>51.973025001834301</v>
      </c>
      <c r="K6">
        <v>242</v>
      </c>
      <c r="L6" t="str">
        <f>DiscreteStatsTable[[#This Row],[ProjectName]]&amp;DiscreteStatsTable[[#This Row],[Name]]&amp;DiscreteStatsTable[[#This Row],[Type]]&amp;DiscreteStatsTable[[#This Row],[Source]]</f>
        <v>Unnamed ProjectBegar Truck Brygga 5.QueueWaiting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6.9646094493171802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6.9646094493171802</v>
      </c>
      <c r="S6" cm="1">
        <f t="array" ref="S6">MAX(IF((DiscreteStatsTable[GroupByKey]=DiscreteStatsTable[[#This Row],[GroupByKey]]),(DiscreteStatsTable[GroupByKey]=DiscreteStatsTable[[#This Row],[GroupByKey]])*DiscreteStatsTable[Average]))</f>
        <v>6.9646094493171802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51.973025001834301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242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77</v>
      </c>
      <c r="E7" t="s">
        <v>78</v>
      </c>
      <c r="F7" t="s">
        <v>79</v>
      </c>
      <c r="G7">
        <v>0</v>
      </c>
      <c r="H7">
        <v>2E+20</v>
      </c>
      <c r="I7">
        <v>0</v>
      </c>
      <c r="J7">
        <v>0</v>
      </c>
      <c r="K7">
        <v>80</v>
      </c>
      <c r="L7" t="str">
        <f>DiscreteStatsTable[[#This Row],[ProjectName]]&amp;DiscreteStatsTable[[#This Row],[Name]]&amp;DiscreteStatsTable[[#This Row],[Type]]&amp;DiscreteStatsTable[[#This Row],[Source]]</f>
        <v>Unnamed ProjectLastbilNVA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80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77</v>
      </c>
      <c r="E8" t="s">
        <v>80</v>
      </c>
      <c r="F8" t="s">
        <v>79</v>
      </c>
      <c r="G8">
        <v>0</v>
      </c>
      <c r="H8">
        <v>2E+20</v>
      </c>
      <c r="I8">
        <v>0</v>
      </c>
      <c r="J8">
        <v>0</v>
      </c>
      <c r="K8">
        <v>80</v>
      </c>
      <c r="L8" t="str">
        <f>DiscreteStatsTable[[#This Row],[ProjectName]]&amp;DiscreteStatsTable[[#This Row],[Name]]&amp;DiscreteStatsTable[[#This Row],[Type]]&amp;DiscreteStatsTable[[#This Row],[Source]]</f>
        <v>Unnamed ProjectLastbilOther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80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77</v>
      </c>
      <c r="E9" t="s">
        <v>81</v>
      </c>
      <c r="F9" t="s">
        <v>79</v>
      </c>
      <c r="G9">
        <v>0</v>
      </c>
      <c r="H9">
        <v>2E+20</v>
      </c>
      <c r="I9">
        <v>0</v>
      </c>
      <c r="J9">
        <v>0</v>
      </c>
      <c r="K9">
        <v>80</v>
      </c>
      <c r="L9" t="str">
        <f>DiscreteStatsTable[[#This Row],[ProjectName]]&amp;DiscreteStatsTable[[#This Row],[Name]]&amp;DiscreteStatsTable[[#This Row],[Type]]&amp;DiscreteStatsTable[[#This Row],[Source]]</f>
        <v>Unnamed ProjectLastbilTotal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80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77</v>
      </c>
      <c r="E10" t="s">
        <v>82</v>
      </c>
      <c r="F10" t="s">
        <v>79</v>
      </c>
      <c r="G10">
        <v>0</v>
      </c>
      <c r="H10">
        <v>2E+20</v>
      </c>
      <c r="I10">
        <v>0</v>
      </c>
      <c r="J10">
        <v>0</v>
      </c>
      <c r="K10">
        <v>80</v>
      </c>
      <c r="L10" t="str">
        <f>DiscreteStatsTable[[#This Row],[ProjectName]]&amp;DiscreteStatsTable[[#This Row],[Name]]&amp;DiscreteStatsTable[[#This Row],[Type]]&amp;DiscreteStatsTable[[#This Row],[Source]]</f>
        <v>Unnamed ProjectLastbilTransfer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80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77</v>
      </c>
      <c r="E11" t="s">
        <v>83</v>
      </c>
      <c r="F11" t="s">
        <v>79</v>
      </c>
      <c r="G11">
        <v>0</v>
      </c>
      <c r="H11">
        <v>2E+20</v>
      </c>
      <c r="I11">
        <v>0</v>
      </c>
      <c r="J11">
        <v>0</v>
      </c>
      <c r="K11">
        <v>80</v>
      </c>
      <c r="L11" t="str">
        <f>DiscreteStatsTable[[#This Row],[ProjectName]]&amp;DiscreteStatsTable[[#This Row],[Name]]&amp;DiscreteStatsTable[[#This Row],[Type]]&amp;DiscreteStatsTable[[#This Row],[Source]]</f>
        <v>Unnamed ProjectLastbilVA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80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77</v>
      </c>
      <c r="E12" t="s">
        <v>84</v>
      </c>
      <c r="F12" t="s">
        <v>79</v>
      </c>
      <c r="G12">
        <v>0</v>
      </c>
      <c r="H12">
        <v>2E+20</v>
      </c>
      <c r="I12">
        <v>0</v>
      </c>
      <c r="J12">
        <v>0</v>
      </c>
      <c r="K12">
        <v>80</v>
      </c>
      <c r="L12" t="str">
        <f>DiscreteStatsTable[[#This Row],[ProjectName]]&amp;DiscreteStatsTable[[#This Row],[Name]]&amp;DiscreteStatsTable[[#This Row],[Type]]&amp;DiscreteStatsTable[[#This Row],[Source]]</f>
        <v>Unnamed ProjectLastbilWait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80</v>
      </c>
      <c r="W12">
        <f>IF((DiscreteStatsTable[[#This Row],[RepsRequested]]&gt;1),DiscreteStatsTable[[#This Row],[HalfWidth]],DiscreteStatsTable[[#This Row],[BatchMeansHalfWidth]])</f>
        <v>2E+20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85</v>
      </c>
      <c r="E13" t="s">
        <v>78</v>
      </c>
      <c r="F13" t="s">
        <v>79</v>
      </c>
      <c r="G13">
        <v>0</v>
      </c>
      <c r="H13">
        <v>0</v>
      </c>
      <c r="I13">
        <v>0</v>
      </c>
      <c r="J13">
        <v>0</v>
      </c>
      <c r="K13">
        <v>1167</v>
      </c>
      <c r="L13" t="str">
        <f>DiscreteStatsTable[[#This Row],[ProjectName]]&amp;DiscreteStatsTable[[#This Row],[Name]]&amp;DiscreteStatsTable[[#This Row],[Type]]&amp;DiscreteStatsTable[[#This Row],[Source]]</f>
        <v>Unnamed ProjectPallNVA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1167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85</v>
      </c>
      <c r="E14" t="s">
        <v>80</v>
      </c>
      <c r="F14" t="s">
        <v>79</v>
      </c>
      <c r="G14">
        <v>0.34867328800595099</v>
      </c>
      <c r="H14">
        <v>1.5052435131784299E-3</v>
      </c>
      <c r="I14">
        <v>0.30012884671498302</v>
      </c>
      <c r="J14">
        <v>0.39979416727018702</v>
      </c>
      <c r="K14">
        <v>1167</v>
      </c>
      <c r="L14" t="str">
        <f>DiscreteStatsTable[[#This Row],[ProjectName]]&amp;DiscreteStatsTable[[#This Row],[Name]]&amp;DiscreteStatsTable[[#This Row],[Type]]&amp;DiscreteStatsTable[[#This Row],[Source]]</f>
        <v>Unnamed ProjectPallOther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0.34867328800595099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0.34867328800595099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0.34867328800595099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0.30012884671498302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0.39979416727018702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1167</v>
      </c>
      <c r="W14">
        <f>IF((DiscreteStatsTable[[#This Row],[RepsRequested]]&gt;1),DiscreteStatsTable[[#This Row],[HalfWidth]],DiscreteStatsTable[[#This Row],[BatchMeansHalfWidth]])</f>
        <v>1.5052435131784299E-3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85</v>
      </c>
      <c r="E15" t="s">
        <v>81</v>
      </c>
      <c r="F15" t="s">
        <v>79</v>
      </c>
      <c r="G15">
        <v>10.432989288156399</v>
      </c>
      <c r="H15">
        <v>1.4875629718619401</v>
      </c>
      <c r="I15">
        <v>0.65700408252121201</v>
      </c>
      <c r="J15">
        <v>54.6320374691865</v>
      </c>
      <c r="K15">
        <v>1167</v>
      </c>
      <c r="L15" t="str">
        <f>DiscreteStatsTable[[#This Row],[ProjectName]]&amp;DiscreteStatsTable[[#This Row],[Name]]&amp;DiscreteStatsTable[[#This Row],[Type]]&amp;DiscreteStatsTable[[#This Row],[Source]]</f>
        <v>Unnamed ProjectPallTotal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10.432989288156399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10.432989288156399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10.432989288156399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0.65700408252121201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54.6320374691865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1167</v>
      </c>
      <c r="W15">
        <f>IF((DiscreteStatsTable[[#This Row],[RepsRequested]]&gt;1),DiscreteStatsTable[[#This Row],[HalfWidth]],DiscreteStatsTable[[#This Row],[BatchMeansHalfWidth]])</f>
        <v>1.4875629718619401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</v>
      </c>
      <c r="D16" t="s">
        <v>85</v>
      </c>
      <c r="E16" t="s">
        <v>82</v>
      </c>
      <c r="F16" t="s">
        <v>79</v>
      </c>
      <c r="G16">
        <v>0.93489860039988404</v>
      </c>
      <c r="H16">
        <v>3E+20</v>
      </c>
      <c r="I16">
        <v>1.33333333333212E-2</v>
      </c>
      <c r="J16">
        <v>1</v>
      </c>
      <c r="K16">
        <v>1167</v>
      </c>
      <c r="L16" t="str">
        <f>DiscreteStatsTable[[#This Row],[ProjectName]]&amp;DiscreteStatsTable[[#This Row],[Name]]&amp;DiscreteStatsTable[[#This Row],[Type]]&amp;DiscreteStatsTable[[#This Row],[Source]]</f>
        <v>Unnamed ProjectPallTransfer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0.93489860039988404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0.93489860039988404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0.93489860039988404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1.33333333333212E-2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1167</v>
      </c>
      <c r="W16">
        <f>IF((DiscreteStatsTable[[#This Row],[RepsRequested]]&gt;1),DiscreteStatsTable[[#This Row],[HalfWidth]],DiscreteStatsTable[[#This Row],[BatchMeansHalfWidth]])</f>
        <v>3E+20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1</v>
      </c>
      <c r="D17" t="s">
        <v>85</v>
      </c>
      <c r="E17" t="s">
        <v>83</v>
      </c>
      <c r="F17" t="s">
        <v>79</v>
      </c>
      <c r="G17">
        <v>0.29810767297962598</v>
      </c>
      <c r="H17">
        <v>4.1685674596885899E-3</v>
      </c>
      <c r="I17">
        <v>0.20017285492178899</v>
      </c>
      <c r="J17">
        <v>0.39955073406596098</v>
      </c>
      <c r="K17">
        <v>1167</v>
      </c>
      <c r="L17" t="str">
        <f>DiscreteStatsTable[[#This Row],[ProjectName]]&amp;DiscreteStatsTable[[#This Row],[Name]]&amp;DiscreteStatsTable[[#This Row],[Type]]&amp;DiscreteStatsTable[[#This Row],[Source]]</f>
        <v>Unnamed ProjectPallVA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0.29810767297962598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0.29810767297962598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0.29810767297962598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0.20017285492178899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0.39955073406596098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1167</v>
      </c>
      <c r="W17">
        <f>IF((DiscreteStatsTable[[#This Row],[RepsRequested]]&gt;1),DiscreteStatsTable[[#This Row],[HalfWidth]],DiscreteStatsTable[[#This Row],[BatchMeansHalfWidth]])</f>
        <v>4.1685674596885899E-3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66</v>
      </c>
      <c r="B18" t="s">
        <v>69</v>
      </c>
      <c r="C18">
        <v>1</v>
      </c>
      <c r="D18" t="s">
        <v>85</v>
      </c>
      <c r="E18" t="s">
        <v>84</v>
      </c>
      <c r="F18" t="s">
        <v>79</v>
      </c>
      <c r="G18">
        <v>8.8513097267709195</v>
      </c>
      <c r="H18">
        <v>1.4850825805536201</v>
      </c>
      <c r="I18">
        <v>1.33333333333212E-2</v>
      </c>
      <c r="J18">
        <v>52.973025001834301</v>
      </c>
      <c r="K18">
        <v>1167</v>
      </c>
      <c r="L18" t="str">
        <f>DiscreteStatsTable[[#This Row],[ProjectName]]&amp;DiscreteStatsTable[[#This Row],[Name]]&amp;DiscreteStatsTable[[#This Row],[Type]]&amp;DiscreteStatsTable[[#This Row],[Source]]</f>
        <v>Unnamed ProjectPallWait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8.8513097267709195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8.8513097267709195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8.8513097267709195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1.33333333333212E-2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52.973025001834301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1167</v>
      </c>
      <c r="W18">
        <f>IF((DiscreteStatsTable[[#This Row],[RepsRequested]]&gt;1),DiscreteStatsTable[[#This Row],[HalfWidth]],DiscreteStatsTable[[#This Row],[BatchMeansHalfWidth]])</f>
        <v>1.4850825805536201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</v>
      </c>
      <c r="Y18">
        <f>IF(DiscreteStatsTable[[#This Row],[RepsRequested]]=DiscreteStatsTable[[#This Row],[RepsWithStatObserved]],1,0)</f>
        <v>1</v>
      </c>
    </row>
  </sheetData>
  <phoneticPr fontId="2" type="noConversion"/>
  <conditionalFormatting sqref="H2:H18 Q2:Q18">
    <cfRule type="expression" dxfId="20" priority="23">
      <formula>H2=200000000000000000000</formula>
    </cfRule>
  </conditionalFormatting>
  <conditionalFormatting sqref="H2:H18">
    <cfRule type="expression" dxfId="19" priority="21">
      <formula>H2=300000000000000000000</formula>
    </cfRule>
  </conditionalFormatting>
  <conditionalFormatting sqref="L2:Y18">
    <cfRule type="expression" dxfId="18" priority="19">
      <formula>MOD(ROW(),2)=0</formula>
    </cfRule>
  </conditionalFormatting>
  <conditionalFormatting sqref="Y2:Y18">
    <cfRule type="expression" dxfId="17" priority="14">
      <formula>Y2=0</formula>
    </cfRule>
    <cfRule type="expression" dxfId="16" priority="16">
      <formula>Y2=1</formula>
    </cfRule>
  </conditionalFormatting>
  <conditionalFormatting sqref="Y3:Y18">
    <cfRule type="expression" dxfId="15" priority="15">
      <formula>Y3=1</formula>
    </cfRule>
  </conditionalFormatting>
  <conditionalFormatting sqref="W2:W18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8 W2:W18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8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36328125" bestFit="1" customWidth="1"/>
    <col min="5" max="5" width="14.5429687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8.72656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86</v>
      </c>
      <c r="F2" t="s">
        <v>72</v>
      </c>
      <c r="G2">
        <v>2.5189945971527901</v>
      </c>
      <c r="H2">
        <v>2E+20</v>
      </c>
      <c r="I2">
        <v>0</v>
      </c>
      <c r="J2">
        <v>20</v>
      </c>
      <c r="K2">
        <v>7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ProjectBegar Truck Brygga 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2.5189945971527901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2.5189945971527901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2.5189945971527901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86</v>
      </c>
      <c r="F3" t="s">
        <v>72</v>
      </c>
      <c r="G3">
        <v>2.5235928780096701</v>
      </c>
      <c r="H3">
        <v>2E+20</v>
      </c>
      <c r="I3">
        <v>0</v>
      </c>
      <c r="J3">
        <v>17</v>
      </c>
      <c r="K3">
        <v>6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ProjectBegar Truck Brygga 2.QueueNumber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2.5235928780096701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2.5235928780096701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2.5235928780096701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86</v>
      </c>
      <c r="F4" t="s">
        <v>72</v>
      </c>
      <c r="G4">
        <v>2.5329431831334501</v>
      </c>
      <c r="H4">
        <v>2E+20</v>
      </c>
      <c r="I4">
        <v>0</v>
      </c>
      <c r="J4">
        <v>21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ProjectBegar Truck Brygga 3.QueueNumber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2.5329431831334501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2.5329431831334501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2.5329431831334501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75</v>
      </c>
      <c r="E5" t="s">
        <v>86</v>
      </c>
      <c r="F5" t="s">
        <v>72</v>
      </c>
      <c r="G5">
        <v>3.1086633604141798</v>
      </c>
      <c r="H5">
        <v>2E+20</v>
      </c>
      <c r="I5">
        <v>0</v>
      </c>
      <c r="J5">
        <v>20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ProjectBegar Truck Brygga 4.QueueNumber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3.1086633604141798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3.1086633604141798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3.1086633604141798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76</v>
      </c>
      <c r="E6" t="s">
        <v>86</v>
      </c>
      <c r="F6" t="s">
        <v>72</v>
      </c>
      <c r="G6">
        <v>2.34088262046494</v>
      </c>
      <c r="H6">
        <v>2E+20</v>
      </c>
      <c r="I6">
        <v>0</v>
      </c>
      <c r="J6">
        <v>21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ProjectBegar Truck Brygga 5.QueueNumber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2.34088262046494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2.34088262046494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2.34088262046494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77</v>
      </c>
      <c r="E7" t="s">
        <v>87</v>
      </c>
      <c r="F7" t="s">
        <v>79</v>
      </c>
      <c r="G7">
        <v>0</v>
      </c>
      <c r="H7">
        <v>2E+20</v>
      </c>
      <c r="I7">
        <v>0</v>
      </c>
      <c r="J7">
        <v>21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ProjectLastbilWIPEntity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66</v>
      </c>
      <c r="B8" t="s">
        <v>69</v>
      </c>
      <c r="C8">
        <v>1</v>
      </c>
      <c r="D8" t="s">
        <v>85</v>
      </c>
      <c r="E8" t="s">
        <v>87</v>
      </c>
      <c r="F8" t="s">
        <v>79</v>
      </c>
      <c r="G8">
        <v>17.046301081055201</v>
      </c>
      <c r="H8">
        <v>3.6324030859030501</v>
      </c>
      <c r="I8">
        <v>0</v>
      </c>
      <c r="J8">
        <v>61</v>
      </c>
      <c r="K8">
        <v>18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ProjectPallWIPEntity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17.046301081055201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17.046301081055201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17.046301081055201</v>
      </c>
      <c r="U8">
        <f>IF((ContinuousStatsTable[[#This Row],[RepsRequested]]&gt;1),ContinuousStatsTable[[#This Row],[HalfWidth]],ContinuousStatsTable[[#This Row],[BatchMeansHalfWidth]])</f>
        <v>3.6324030859030501</v>
      </c>
    </row>
  </sheetData>
  <phoneticPr fontId="2" type="noConversion"/>
  <conditionalFormatting sqref="H2:H8">
    <cfRule type="expression" dxfId="11" priority="9">
      <formula>H2=200000000000000000000</formula>
    </cfRule>
  </conditionalFormatting>
  <conditionalFormatting sqref="H2:H8">
    <cfRule type="expression" dxfId="10" priority="7">
      <formula>H2=300000000000000000000</formula>
    </cfRule>
  </conditionalFormatting>
  <conditionalFormatting sqref="M2:U8">
    <cfRule type="expression" dxfId="9" priority="5">
      <formula>MOD(ROW(),2)=0</formula>
    </cfRule>
  </conditionalFormatting>
  <conditionalFormatting sqref="U2:U8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8 U2:U8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36328125" bestFit="1" customWidth="1"/>
    <col min="5" max="5" width="11.179687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48.6328125" bestFit="1" customWidth="1"/>
    <col min="10" max="10" width="16.08984375" bestFit="1" customWidth="1"/>
    <col min="11" max="11" width="9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5" width="11.1796875" bestFit="1" customWidth="1"/>
    <col min="16" max="16" width="11.5429687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79</v>
      </c>
      <c r="G2">
        <v>1265</v>
      </c>
      <c r="H2">
        <v>0</v>
      </c>
      <c r="I2" t="str">
        <f>OutputTable[[#This Row],[ProjectName]]&amp;OutputTable[[#This Row],[Name]]&amp;OutputTable[[#This Row],[Type]]&amp;OutputTable[[#This Row],[Source]]</f>
        <v>Unnamed ProjectLastbil.NumberInNumber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1265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1265</v>
      </c>
      <c r="P2" cm="1">
        <f t="array" ref="P2">MAX(IF((OutputTable[GroupByKey]=OutputTable[[#This Row],[GroupByKey]]),(OutputTable[GroupByKey]=OutputTable[[#This Row],[GroupByKey]])*OutputTable[RecordedValue]))</f>
        <v>1265</v>
      </c>
    </row>
    <row r="3" spans="1:16" x14ac:dyDescent="0.35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79</v>
      </c>
      <c r="G3">
        <v>1265</v>
      </c>
      <c r="H3">
        <v>0</v>
      </c>
      <c r="I3" t="str">
        <f>OutputTable[[#This Row],[ProjectName]]&amp;OutputTable[[#This Row],[Name]]&amp;OutputTable[[#This Row],[Type]]&amp;OutputTable[[#This Row],[Source]]</f>
        <v>Unnamed ProjectLastbil.NumberOutNumber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1265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1265</v>
      </c>
      <c r="P3" cm="1">
        <f t="array" ref="P3">MAX(IF((OutputTable[GroupByKey]=OutputTable[[#This Row],[GroupByKey]]),(OutputTable[GroupByKey]=OutputTable[[#This Row],[GroupByKey]])*OutputTable[RecordedValue]))</f>
        <v>1265</v>
      </c>
    </row>
    <row r="4" spans="1:16" x14ac:dyDescent="0.35">
      <c r="A4" t="s">
        <v>66</v>
      </c>
      <c r="B4" t="s">
        <v>69</v>
      </c>
      <c r="C4">
        <v>1</v>
      </c>
      <c r="D4" t="s">
        <v>92</v>
      </c>
      <c r="E4" t="s">
        <v>89</v>
      </c>
      <c r="F4" t="s">
        <v>79</v>
      </c>
      <c r="G4">
        <v>1185</v>
      </c>
      <c r="H4">
        <v>0</v>
      </c>
      <c r="I4" t="str">
        <f>OutputTable[[#This Row],[ProjectName]]&amp;OutputTable[[#This Row],[Name]]&amp;OutputTable[[#This Row],[Type]]&amp;OutputTable[[#This Row],[Source]]</f>
        <v>Unnamed ProjectPall.NumberInNumber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1185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1185</v>
      </c>
      <c r="P4" cm="1">
        <f t="array" ref="P4">MAX(IF((OutputTable[GroupByKey]=OutputTable[[#This Row],[GroupByKey]]),(OutputTable[GroupByKey]=OutputTable[[#This Row],[GroupByKey]])*OutputTable[RecordedValue]))</f>
        <v>1185</v>
      </c>
    </row>
    <row r="5" spans="1:16" x14ac:dyDescent="0.35">
      <c r="A5" t="s">
        <v>66</v>
      </c>
      <c r="B5" t="s">
        <v>69</v>
      </c>
      <c r="C5">
        <v>1</v>
      </c>
      <c r="D5" t="s">
        <v>93</v>
      </c>
      <c r="E5" t="s">
        <v>91</v>
      </c>
      <c r="F5" t="s">
        <v>79</v>
      </c>
      <c r="G5">
        <v>1167</v>
      </c>
      <c r="H5">
        <v>0</v>
      </c>
      <c r="I5" t="str">
        <f>OutputTable[[#This Row],[ProjectName]]&amp;OutputTable[[#This Row],[Name]]&amp;OutputTable[[#This Row],[Type]]&amp;OutputTable[[#This Row],[Source]]</f>
        <v>Unnamed ProjectPall.NumberOutNumber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1167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1167</v>
      </c>
      <c r="P5" cm="1">
        <f t="array" ref="P5">MAX(IF((OutputTable[GroupByKey]=OutputTable[[#This Row],[GroupByKey]]),(OutputTable[GroupByKey]=OutputTable[[#This Row],[GroupByKey]])*OutputTable[RecordedValue]))</f>
        <v>1167</v>
      </c>
    </row>
    <row r="6" spans="1:16" x14ac:dyDescent="0.35">
      <c r="A6" t="s">
        <v>66</v>
      </c>
      <c r="B6" t="s">
        <v>69</v>
      </c>
      <c r="C6">
        <v>1</v>
      </c>
      <c r="D6" t="s">
        <v>94</v>
      </c>
      <c r="E6" t="s">
        <v>91</v>
      </c>
      <c r="F6" t="s">
        <v>95</v>
      </c>
      <c r="G6">
        <v>1247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1247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1247</v>
      </c>
      <c r="P6" cm="1">
        <f t="array" ref="P6">MAX(IF((OutputTable[GroupByKey]=OutputTable[[#This Row],[GroupByKey]]),(OutputTable[GroupByKey]=OutputTable[[#This Row],[GroupByKey]])*OutputTable[RecordedValue]))</f>
        <v>1247</v>
      </c>
    </row>
  </sheetData>
  <phoneticPr fontId="2" type="noConversion"/>
  <conditionalFormatting sqref="I2:P6">
    <cfRule type="expression" dxfId="3" priority="2">
      <formula>MOD(ROW(),2)=0</formula>
    </cfRule>
  </conditionalFormatting>
  <conditionalFormatting sqref="N2:N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26953125" bestFit="1" customWidth="1"/>
    <col min="19" max="19" width="28.26953125" bestFit="1" customWidth="1"/>
    <col min="20" max="20" width="26.26953125" bestFit="1" customWidth="1"/>
    <col min="21" max="21" width="29.81640625" bestFit="1" customWidth="1"/>
    <col min="22" max="22" width="31.81640625" bestFit="1" customWidth="1"/>
    <col min="23" max="23" width="32.17968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2026-02-25T19:44:09Z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