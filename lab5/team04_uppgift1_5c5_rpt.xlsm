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13_ncr:1_{E07A41CD-B8A4-4126-B8C2-8CE766BB79DE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P3" i="20" s="1" a="1"/>
  <c r="I3" i="20"/>
  <c r="I4" i="20"/>
  <c r="I5" i="20"/>
  <c r="I6" i="20"/>
  <c r="I7" i="20"/>
  <c r="P7" i="20" s="1" a="1"/>
  <c r="I8" i="20"/>
  <c r="P8" i="20" s="1" a="1"/>
  <c r="I9" i="20"/>
  <c r="P9" i="20" s="1" a="1"/>
  <c r="I10" i="20"/>
  <c r="P10" i="20" s="1" a="1"/>
  <c r="I11" i="20"/>
  <c r="P11" i="20" s="1" a="1"/>
  <c r="I12" i="20"/>
  <c r="P12" i="20" s="1" a="1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L10" i="20" a="1"/>
  <c r="L11" i="20" a="1"/>
  <c r="L12" i="20" a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N9" i="20"/>
  <c r="N10" i="20"/>
  <c r="N11" i="20"/>
  <c r="N12" i="20"/>
  <c r="O2" i="20" a="1"/>
  <c r="O3" i="20" a="1"/>
  <c r="O4" i="20" a="1"/>
  <c r="O5" i="20" a="1"/>
  <c r="O6" i="20" a="1"/>
  <c r="O7" i="20" a="1"/>
  <c r="O8" i="20" a="1"/>
  <c r="O9" i="20" a="1"/>
  <c r="O10" i="20" a="1"/>
  <c r="O11" i="20" a="1"/>
  <c r="O12" i="20" a="1"/>
  <c r="P2" i="20" a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N2" i="18" a="1"/>
  <c r="U2" i="18" s="1"/>
  <c r="N3" i="18" a="1"/>
  <c r="U3" i="18" s="1"/>
  <c r="N4" i="18" a="1"/>
  <c r="U4" i="18" s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N20" i="18" a="1"/>
  <c r="U20" i="18" s="1"/>
  <c r="N21" i="18" a="1"/>
  <c r="U21" i="18" s="1"/>
  <c r="N22" i="18" a="1"/>
  <c r="U22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P4" i="18" a="1"/>
  <c r="P5" i="18" a="1"/>
  <c r="P6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P20" i="18" a="1"/>
  <c r="P21" i="18" a="1"/>
  <c r="Q2" i="18" a="1"/>
  <c r="Q3" i="18" a="1"/>
  <c r="Q4" i="18" a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T2" i="18" a="1"/>
  <c r="T6" i="18" a="1"/>
  <c r="T7" i="18" a="1"/>
  <c r="T8" i="18" a="1"/>
  <c r="T9" i="18" a="1"/>
  <c r="T10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L2" i="17"/>
  <c r="L3" i="17"/>
  <c r="L4" i="17"/>
  <c r="L5" i="17"/>
  <c r="L12" i="17"/>
  <c r="L13" i="17"/>
  <c r="L14" i="17"/>
  <c r="L15" i="17"/>
  <c r="L6" i="17"/>
  <c r="U6" i="17" s="1" a="1"/>
  <c r="L7" i="17"/>
  <c r="U7" i="17" s="1" a="1"/>
  <c r="L8" i="17"/>
  <c r="U8" i="17" s="1" a="1"/>
  <c r="L9" i="17"/>
  <c r="O9" i="17" s="1" a="1"/>
  <c r="Q9" i="17" s="1"/>
  <c r="L10" i="17"/>
  <c r="L11" i="17"/>
  <c r="M2" i="17" a="1"/>
  <c r="W2" i="17" s="1"/>
  <c r="M3" i="17" a="1"/>
  <c r="W3" i="17" s="1"/>
  <c r="M4" i="17" a="1"/>
  <c r="W4" i="17" s="1"/>
  <c r="M5" i="17" a="1"/>
  <c r="W5" i="17" s="1"/>
  <c r="M12" i="17" a="1"/>
  <c r="W12" i="17" s="1"/>
  <c r="M13" i="17" a="1"/>
  <c r="W13" i="17" s="1"/>
  <c r="M14" i="17" a="1"/>
  <c r="W14" i="17" s="1"/>
  <c r="M15" i="17" a="1"/>
  <c r="W15" i="17" s="1"/>
  <c r="M6" i="17" a="1"/>
  <c r="W6" i="17" s="1"/>
  <c r="M7" i="17" a="1"/>
  <c r="W7" i="17" s="1"/>
  <c r="M8" i="17" a="1"/>
  <c r="W8" i="17" s="1"/>
  <c r="M9" i="17" a="1"/>
  <c r="W9" i="17" s="1"/>
  <c r="M10" i="17" a="1"/>
  <c r="W10" i="17" s="1"/>
  <c r="M11" i="17" a="1"/>
  <c r="W11" i="17" s="1"/>
  <c r="N2" i="17" a="1"/>
  <c r="N3" i="17" a="1"/>
  <c r="N4" i="17" a="1"/>
  <c r="N5" i="17" a="1"/>
  <c r="N12" i="17" a="1"/>
  <c r="N13" i="17" a="1"/>
  <c r="N14" i="17" a="1"/>
  <c r="N15" i="17" a="1"/>
  <c r="N6" i="17" a="1"/>
  <c r="N7" i="17" a="1"/>
  <c r="N8" i="17" a="1"/>
  <c r="N9" i="17" a="1"/>
  <c r="N10" i="17" a="1"/>
  <c r="N11" i="17" a="1"/>
  <c r="O2" i="17" a="1"/>
  <c r="O3" i="17" a="1"/>
  <c r="O4" i="17" a="1"/>
  <c r="O5" i="17" a="1"/>
  <c r="O7" i="17" a="1"/>
  <c r="P2" i="17" a="1"/>
  <c r="P3" i="17" a="1"/>
  <c r="P4" i="17" a="1"/>
  <c r="P5" i="17" a="1"/>
  <c r="P12" i="17" a="1"/>
  <c r="P13" i="17" a="1"/>
  <c r="P14" i="17" a="1"/>
  <c r="P15" i="17" a="1"/>
  <c r="P6" i="17" a="1"/>
  <c r="P7" i="17" a="1"/>
  <c r="P8" i="17" a="1"/>
  <c r="P9" i="17" a="1"/>
  <c r="P10" i="17" a="1"/>
  <c r="P11" i="17" a="1"/>
  <c r="R2" i="17" a="1"/>
  <c r="R3" i="17" a="1"/>
  <c r="R4" i="17" a="1"/>
  <c r="R5" i="17" a="1"/>
  <c r="R12" i="17" a="1"/>
  <c r="R13" i="17" a="1"/>
  <c r="R14" i="17" a="1"/>
  <c r="R15" i="17" a="1"/>
  <c r="R6" i="17" a="1"/>
  <c r="R7" i="17" a="1"/>
  <c r="R8" i="17" a="1"/>
  <c r="R9" i="17" a="1"/>
  <c r="R10" i="17" a="1"/>
  <c r="R11" i="17" a="1"/>
  <c r="S2" i="17" a="1"/>
  <c r="S3" i="17" a="1"/>
  <c r="S4" i="17" a="1"/>
  <c r="S5" i="17" a="1"/>
  <c r="S12" i="17" a="1"/>
  <c r="S13" i="17" a="1"/>
  <c r="S14" i="17" a="1"/>
  <c r="S15" i="17" a="1"/>
  <c r="S6" i="17" a="1"/>
  <c r="S7" i="17" a="1"/>
  <c r="S8" i="17" a="1"/>
  <c r="S9" i="17" a="1"/>
  <c r="S10" i="17" a="1"/>
  <c r="S11" i="17" a="1"/>
  <c r="T2" i="17" a="1"/>
  <c r="T3" i="17" a="1"/>
  <c r="T4" i="17" a="1"/>
  <c r="T5" i="17" a="1"/>
  <c r="T12" i="17" a="1"/>
  <c r="T13" i="17" a="1"/>
  <c r="T14" i="17" a="1"/>
  <c r="T15" i="17" a="1"/>
  <c r="T6" i="17" a="1"/>
  <c r="T7" i="17" a="1"/>
  <c r="T8" i="17" a="1"/>
  <c r="T9" i="17" a="1"/>
  <c r="T10" i="17" a="1"/>
  <c r="T11" i="17" a="1"/>
  <c r="U2" i="17" a="1"/>
  <c r="U3" i="17" a="1"/>
  <c r="U4" i="17" a="1"/>
  <c r="U5" i="17" a="1"/>
  <c r="U12" i="17" a="1"/>
  <c r="U13" i="17" a="1"/>
  <c r="U14" i="17" a="1"/>
  <c r="X3" i="17" a="1"/>
  <c r="X4" i="17" a="1"/>
  <c r="X5" i="17" a="1"/>
  <c r="X12" i="17" a="1"/>
  <c r="X13" i="17" a="1"/>
  <c r="X14" i="17" a="1"/>
  <c r="X15" i="17" a="1"/>
  <c r="X6" i="17" a="1"/>
  <c r="X7" i="17" a="1"/>
  <c r="X8" i="17" a="1"/>
  <c r="X9" i="17" a="1"/>
  <c r="X10" i="17" a="1"/>
  <c r="Y10" i="17" s="1"/>
  <c r="X11" i="17" a="1"/>
  <c r="Y11" i="17" s="1"/>
  <c r="Y3" i="17"/>
  <c r="Q3" i="17" s="1"/>
  <c r="Y4" i="17"/>
  <c r="Q4" i="17" s="1"/>
  <c r="Y5" i="17"/>
  <c r="Q5" i="17" s="1"/>
  <c r="Y12" i="17"/>
  <c r="Y13" i="17"/>
  <c r="Y14" i="17"/>
  <c r="Y15" i="17"/>
  <c r="Y6" i="17"/>
  <c r="Y7" i="17"/>
  <c r="Q7" i="17" s="1"/>
  <c r="Y8" i="17"/>
  <c r="Y9" i="17"/>
  <c r="G2" i="16"/>
  <c r="P4" i="20" l="1" a="1"/>
  <c r="P5" i="20" a="1"/>
  <c r="P6" i="20" a="1"/>
  <c r="R14" i="18"/>
  <c r="R18" i="18"/>
  <c r="R4" i="18"/>
  <c r="R5" i="18"/>
  <c r="R6" i="18"/>
  <c r="R7" i="18"/>
  <c r="R8" i="18"/>
  <c r="R9" i="18"/>
  <c r="R10" i="18"/>
  <c r="R12" i="18"/>
  <c r="R16" i="18"/>
  <c r="R20" i="18"/>
  <c r="R13" i="18"/>
  <c r="R17" i="18"/>
  <c r="R21" i="18"/>
  <c r="R11" i="18"/>
  <c r="R15" i="18"/>
  <c r="R19" i="18"/>
  <c r="O22" i="18" a="1"/>
  <c r="P2" i="18" a="1"/>
  <c r="R2" i="18" s="1"/>
  <c r="T3" i="18" a="1"/>
  <c r="T4" i="18" a="1"/>
  <c r="P3" i="18" a="1"/>
  <c r="R3" i="18" s="1"/>
  <c r="T5" i="18" a="1"/>
  <c r="P22" i="18" a="1"/>
  <c r="R22" i="18" s="1"/>
  <c r="T22" i="18" a="1"/>
  <c r="O15" i="17" a="1"/>
  <c r="O6" i="17" a="1"/>
  <c r="O12" i="17" a="1"/>
  <c r="Q12" i="17" s="1"/>
  <c r="O8" i="17" a="1"/>
  <c r="Q8" i="17" s="1"/>
  <c r="U15" i="17" a="1"/>
  <c r="O10" i="17" a="1"/>
  <c r="Q10" i="17" s="1"/>
  <c r="U9" i="17" a="1"/>
  <c r="V11" i="17" a="1"/>
  <c r="O11" i="17" a="1"/>
  <c r="Q11" i="17" s="1"/>
  <c r="X2" i="17" a="1"/>
  <c r="Y2" i="17" s="1"/>
  <c r="Q2" i="17" s="1"/>
  <c r="V14" i="17" a="1"/>
  <c r="V6" i="17" a="1"/>
  <c r="V8" i="17" a="1"/>
  <c r="V10" i="17" a="1"/>
  <c r="Q15" i="17"/>
  <c r="Q6" i="17"/>
  <c r="V15" i="17" a="1"/>
  <c r="V7" i="17" a="1"/>
  <c r="V9" i="17" a="1"/>
  <c r="O13" i="17" a="1"/>
  <c r="Q13" i="17" s="1"/>
  <c r="O14" i="17" a="1"/>
  <c r="Q14" i="17" s="1"/>
  <c r="U10" i="17" a="1"/>
  <c r="U11" i="17" a="1"/>
  <c r="V2" i="17" a="1"/>
  <c r="V3" i="17" a="1"/>
  <c r="V4" i="17" a="1"/>
  <c r="V5" i="17" a="1"/>
  <c r="V12" i="17" a="1"/>
  <c r="V13" i="17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c5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<sst xmlns="http://schemas.openxmlformats.org/spreadsheetml/2006/main" count="523" uniqueCount="115">
  <si>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</si>
  <si>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</si>
  <si>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</si>
  <si>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</si>
  <si>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</si>
  <si>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</si>
  <si>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</si>
  <si>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</si>
  <si>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</si>
  <si>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</si>
  <si>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</si>
  <si>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</si>
  <si>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</si>
  <si>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</si>
  <si>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</si>
  <si>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</si>
  <si>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</si>
  <si>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</si>
  <si>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</si>
  <si>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</si>
  <si>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</si>
  <si>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</si>
  <si>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</si>
  <si>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</si>
  <si>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</si>
  <si>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</si>
  <si>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</si>
  <si>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</si>
  <si>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</si>
  <si>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</si>
  <si>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</si>
  <si>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</si>
  <si>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</si>
  <si>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</si>
  <si>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</si>
  <si>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</si>
  <si>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</si>
  <si>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</si>
  <si>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</si>
  <si>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</si>
  <si>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</si>
  <si>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</si>
  <si>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</si>
  <si>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</si>
  <si>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</si>
  <si>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</si>
  <si>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</si>
  <si>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</si>
  <si>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</si>
  <si>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</si>
  <si>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</si>
  <si>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</si>
  <si>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</si>
  <si>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</si>
  <si>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</si>
  <si>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</si>
  <si>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</si>
  <si>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</si>
  <si>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</si>
  <si>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</si>
  <si>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</si>
  <si>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</si>
  <si>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</si>
  <si>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</si>
  <si>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</si>
  <si>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</si>
  <si>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</si>
  <si>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</si>
  <si>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Simulering\Laborationer\team04_uppgift1_5c5.p</t>
  </si>
  <si>
    <t>2026-07-23 20:57:04</t>
  </si>
  <si>
    <t>Access ws1.Queue</t>
  </si>
  <si>
    <t>Waiting Time</t>
  </si>
  <si>
    <t>Queue</t>
  </si>
  <si>
    <t>Access ws2.Queue</t>
  </si>
  <si>
    <t>Access ws3.Queue</t>
  </si>
  <si>
    <t>Hold.Queue</t>
  </si>
  <si>
    <t>Seize ws1.Queue</t>
  </si>
  <si>
    <t>Seize ws2.Queue</t>
  </si>
  <si>
    <t>Seize ws3.Queue</t>
  </si>
  <si>
    <t>Seize ws4.Queue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</si>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</sst>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873262847221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ccess ws1.Queue"/>
        <s v="Access ws2.Queue"/>
        <s v="Access ws3.Queue"/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3.1606829157574699E-2" maxValue="24.407600350403499"/>
    </cacheField>
    <cacheField name="BatchMeansHalfWidth" numFmtId="0">
      <sharedItems containsSemiMixedTypes="0" containsString="0" containsNumber="1" minValue="9.9719831504079797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40"/>
    </cacheField>
    <cacheField name="LastRecordedValue" numFmtId="0">
      <sharedItems containsSemiMixedTypes="0" containsString="0" containsNumber="1" containsInteger="1" minValue="0" maxValue="3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3.1606829157574699E-2" maxValue="24.4076003504034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3.1606829157574699E-2" maxValue="24.407600350403499"/>
    </cacheField>
    <cacheField name="MaximumAverage" numFmtId="0">
      <sharedItems containsSemiMixedTypes="0" containsString="0" containsNumber="1" minValue="3.1606829157574699E-2" maxValue="24.407600350403499"/>
    </cacheField>
    <cacheField name="SummaryHalfWidth" numFmtId="0">
      <sharedItems containsSemiMixedTypes="0" containsString="0" containsNumber="1" minValue="9.9719831504079797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87326423611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87326516203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Access ws1.Queue"/>
        <s v="Access ws2.Queue"/>
        <s v="Access ws3.Queue"/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66.03042445124697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1.064495261127007"/>
    </cacheField>
    <cacheField name="Maximum" numFmtId="0">
      <sharedItems containsSemiMixedTypes="0" containsString="0" containsNumber="1" minValue="0" maxValue="657.02641963408996"/>
    </cacheField>
    <cacheField name="NumberObservations" numFmtId="0">
      <sharedItems containsSemiMixedTypes="0" containsString="0" containsNumber="1" containsInteger="1" minValue="642" maxValue="67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66.030424451246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66.03042445124697"/>
    </cacheField>
    <cacheField name="MaximumAverage" numFmtId="0">
      <sharedItems containsSemiMixedTypes="0" containsString="0" containsNumber="1" minValue="0" maxValue="366.03042445124697"/>
    </cacheField>
    <cacheField name="OverallMinimum" numFmtId="0">
      <sharedItems containsSemiMixedTypes="0" containsString="0" containsNumber="1" minValue="0" maxValue="81.064495261127007"/>
    </cacheField>
    <cacheField name="OverallMaximum" numFmtId="0">
      <sharedItems containsSemiMixedTypes="0" containsString="0" containsNumber="1" minValue="0" maxValue="657.02641963408996"/>
    </cacheField>
    <cacheField name="AverageNumberObservations" numFmtId="0">
      <sharedItems containsSemiMixedTypes="0" containsString="0" containsNumber="1" containsInteger="1" minValue="642" maxValue="674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873266203707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78220386452352797" maxValue="67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8220386452352797" maxValue="67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8220386452352797" maxValue="674"/>
    </cacheField>
    <cacheField name="Maximum" numFmtId="0">
      <sharedItems containsSemiMixedTypes="0" containsString="0" containsNumber="1" minValue="0.78220386452352797" maxValue="6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87326701389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6-07-23 20:57:04"/>
    <n v="1"/>
    <x v="0"/>
    <x v="0"/>
    <x v="0"/>
    <n v="7.2683403903407204E-2"/>
    <n v="2.6183179241101199E-2"/>
    <n v="0"/>
    <n v="1"/>
    <n v="0"/>
    <n v="0"/>
    <s v="Unnamed ProjectAccess ws1.QueueNumber WaitingQueue"/>
    <n v="1"/>
    <n v="7.2683403903407204E-2"/>
    <n v="0"/>
    <n v="0.95"/>
    <n v="4E+20"/>
    <n v="7.2683403903407204E-2"/>
    <n v="7.2683403903407204E-2"/>
    <n v="2.6183179241101199E-2"/>
  </r>
  <r>
    <x v="0"/>
    <s v="2026-07-23 20:57:04"/>
    <n v="1"/>
    <x v="1"/>
    <x v="0"/>
    <x v="0"/>
    <n v="0.177945378604947"/>
    <n v="3E+20"/>
    <n v="0"/>
    <n v="1"/>
    <n v="0"/>
    <n v="0"/>
    <s v="Unnamed ProjectAccess ws2.QueueNumber WaitingQueue"/>
    <n v="1"/>
    <n v="0.177945378604947"/>
    <n v="0"/>
    <n v="0.95"/>
    <n v="4E+20"/>
    <n v="0.177945378604947"/>
    <n v="0.177945378604947"/>
    <n v="3E+20"/>
  </r>
  <r>
    <x v="0"/>
    <s v="2026-07-23 20:57:04"/>
    <n v="1"/>
    <x v="2"/>
    <x v="0"/>
    <x v="0"/>
    <n v="3.1606829157574699E-2"/>
    <n v="9.9719831504079797E-3"/>
    <n v="0"/>
    <n v="1"/>
    <n v="0"/>
    <n v="0"/>
    <s v="Unnamed ProjectAccess ws3.QueueNumber WaitingQueue"/>
    <n v="1"/>
    <n v="3.1606829157574699E-2"/>
    <n v="0"/>
    <n v="0.95"/>
    <n v="4E+20"/>
    <n v="3.1606829157574699E-2"/>
    <n v="3.1606829157574699E-2"/>
    <n v="9.9719831504079797E-3"/>
  </r>
  <r>
    <x v="0"/>
    <s v="2026-07-23 20:57:04"/>
    <n v="1"/>
    <x v="3"/>
    <x v="0"/>
    <x v="0"/>
    <n v="0.87134436544290295"/>
    <n v="2E+20"/>
    <n v="0"/>
    <n v="1"/>
    <n v="0"/>
    <n v="0"/>
    <s v="Unnamed ProjectHold.QueueNumber WaitingQueue"/>
    <n v="1"/>
    <n v="0.87134436544290295"/>
    <n v="0"/>
    <n v="0.95"/>
    <n v="4E+20"/>
    <n v="0.87134436544290295"/>
    <n v="0.87134436544290295"/>
    <n v="2E+20"/>
  </r>
  <r>
    <x v="0"/>
    <s v="2026-07-23 20:57:04"/>
    <n v="1"/>
    <x v="4"/>
    <x v="0"/>
    <x v="0"/>
    <n v="0.128655634557096"/>
    <n v="2E+20"/>
    <n v="0"/>
    <n v="1"/>
    <n v="1"/>
    <n v="0"/>
    <s v="Unnamed ProjectSeize ws1.QueueNumber WaitingQueue"/>
    <n v="1"/>
    <n v="0.128655634557096"/>
    <n v="0"/>
    <n v="0.95"/>
    <n v="4E+20"/>
    <n v="0.128655634557096"/>
    <n v="0.128655634557096"/>
    <n v="2E+20"/>
  </r>
  <r>
    <x v="0"/>
    <s v="2026-07-23 20:57:04"/>
    <n v="1"/>
    <x v="5"/>
    <x v="0"/>
    <x v="0"/>
    <n v="0.67933461535152095"/>
    <n v="3E+20"/>
    <n v="0"/>
    <n v="1"/>
    <n v="1"/>
    <n v="0"/>
    <s v="Unnamed ProjectSeize ws2.QueueNumber WaitingQueue"/>
    <n v="1"/>
    <n v="0.67933461535152095"/>
    <n v="0"/>
    <n v="0.95"/>
    <n v="4E+20"/>
    <n v="0.67933461535152095"/>
    <n v="0.67933461535152095"/>
    <n v="3E+20"/>
  </r>
  <r>
    <x v="0"/>
    <s v="2026-07-23 20:57:04"/>
    <n v="1"/>
    <x v="6"/>
    <x v="0"/>
    <x v="0"/>
    <n v="0.82612008710215801"/>
    <n v="3E+20"/>
    <n v="0"/>
    <n v="1"/>
    <n v="1"/>
    <n v="0"/>
    <s v="Unnamed ProjectSeize ws3.QueueNumber WaitingQueue"/>
    <n v="1"/>
    <n v="0.82612008710215801"/>
    <n v="0"/>
    <n v="0.95"/>
    <n v="4E+20"/>
    <n v="0.82612008710215801"/>
    <n v="0.82612008710215801"/>
    <n v="3E+20"/>
  </r>
  <r>
    <x v="0"/>
    <s v="2026-07-23 20:57:04"/>
    <n v="1"/>
    <x v="7"/>
    <x v="0"/>
    <x v="0"/>
    <n v="0.50271177100753694"/>
    <n v="3E+20"/>
    <n v="0"/>
    <n v="1"/>
    <n v="1"/>
    <n v="0"/>
    <s v="Unnamed ProjectSeize ws4.QueueNumber WaitingQueue"/>
    <n v="1"/>
    <n v="0.50271177100753694"/>
    <n v="0"/>
    <n v="0.95"/>
    <n v="4E+20"/>
    <n v="0.50271177100753694"/>
    <n v="0.50271177100753694"/>
    <n v="3E+20"/>
  </r>
  <r>
    <x v="0"/>
    <s v="2026-07-23 20:57:04"/>
    <n v="1"/>
    <x v="8"/>
    <x v="1"/>
    <x v="1"/>
    <n v="24.407600350403499"/>
    <n v="3E+20"/>
    <n v="0"/>
    <n v="40"/>
    <n v="32"/>
    <n v="0"/>
    <s v="Unnamed ProjectproductWIPEntity"/>
    <n v="1"/>
    <n v="24.407600350403499"/>
    <n v="0"/>
    <n v="0.95"/>
    <n v="4E+20"/>
    <n v="24.407600350403499"/>
    <n v="24.407600350403499"/>
    <n v="3E+20"/>
  </r>
  <r>
    <x v="0"/>
    <s v="2026-07-23 20:57:04"/>
    <n v="1"/>
    <x v="9"/>
    <x v="2"/>
    <x v="2"/>
    <n v="0.87134436544290295"/>
    <n v="2E+20"/>
    <n v="0"/>
    <n v="1"/>
    <n v="0"/>
    <n v="0"/>
    <s v="Unnamed Projectws1Instantaneous UtilizationResource"/>
    <n v="1"/>
    <n v="0.87134436544290295"/>
    <n v="0"/>
    <n v="0.95"/>
    <n v="4E+20"/>
    <n v="0.87134436544290295"/>
    <n v="0.87134436544290295"/>
    <n v="2E+20"/>
  </r>
  <r>
    <x v="0"/>
    <s v="2026-07-23 20:57:04"/>
    <n v="1"/>
    <x v="9"/>
    <x v="3"/>
    <x v="2"/>
    <n v="0.87134436544290295"/>
    <n v="2E+20"/>
    <n v="0"/>
    <n v="1"/>
    <n v="0"/>
    <n v="0"/>
    <s v="Unnamed Projectws1Number BusyResource"/>
    <n v="1"/>
    <n v="0.87134436544290295"/>
    <n v="0"/>
    <n v="0.95"/>
    <n v="4E+20"/>
    <n v="0.87134436544290295"/>
    <n v="0.87134436544290295"/>
    <n v="2E+20"/>
  </r>
  <r>
    <x v="0"/>
    <s v="2026-07-23 20:57:04"/>
    <n v="1"/>
    <x v="9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20:57:04"/>
    <n v="1"/>
    <x v="10"/>
    <x v="2"/>
    <x v="2"/>
    <n v="0.78220386452352797"/>
    <n v="2E+20"/>
    <n v="0"/>
    <n v="1"/>
    <n v="1"/>
    <n v="0"/>
    <s v="Unnamed Projectws2Instantaneous UtilizationResource"/>
    <n v="1"/>
    <n v="0.78220386452352797"/>
    <n v="0"/>
    <n v="0.95"/>
    <n v="4E+20"/>
    <n v="0.78220386452352797"/>
    <n v="0.78220386452352797"/>
    <n v="2E+20"/>
  </r>
  <r>
    <x v="0"/>
    <s v="2026-07-23 20:57:04"/>
    <n v="1"/>
    <x v="10"/>
    <x v="3"/>
    <x v="2"/>
    <n v="0.78220386452352797"/>
    <n v="2E+20"/>
    <n v="0"/>
    <n v="1"/>
    <n v="1"/>
    <n v="0"/>
    <s v="Unnamed Projectws2Number BusyResource"/>
    <n v="1"/>
    <n v="0.78220386452352797"/>
    <n v="0"/>
    <n v="0.95"/>
    <n v="4E+20"/>
    <n v="0.78220386452352797"/>
    <n v="0.78220386452352797"/>
    <n v="2E+20"/>
  </r>
  <r>
    <x v="0"/>
    <s v="2026-07-23 20:57:04"/>
    <n v="1"/>
    <x v="10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20:57:04"/>
    <n v="1"/>
    <x v="11"/>
    <x v="2"/>
    <x v="2"/>
    <n v="0.80404919184238099"/>
    <n v="2E+20"/>
    <n v="0"/>
    <n v="1"/>
    <n v="1"/>
    <n v="0"/>
    <s v="Unnamed Projectws3Instantaneous UtilizationResource"/>
    <n v="1"/>
    <n v="0.80404919184238099"/>
    <n v="0"/>
    <n v="0.95"/>
    <n v="4E+20"/>
    <n v="0.80404919184238099"/>
    <n v="0.80404919184238099"/>
    <n v="2E+20"/>
  </r>
  <r>
    <x v="0"/>
    <s v="2026-07-23 20:57:04"/>
    <n v="1"/>
    <x v="11"/>
    <x v="3"/>
    <x v="2"/>
    <n v="0.80404919184238099"/>
    <n v="2E+20"/>
    <n v="0"/>
    <n v="1"/>
    <n v="1"/>
    <n v="0"/>
    <s v="Unnamed Projectws3Number BusyResource"/>
    <n v="1"/>
    <n v="0.80404919184238099"/>
    <n v="0"/>
    <n v="0.95"/>
    <n v="4E+20"/>
    <n v="0.80404919184238099"/>
    <n v="0.80404919184238099"/>
    <n v="2E+20"/>
  </r>
  <r>
    <x v="0"/>
    <s v="2026-07-23 20:57:04"/>
    <n v="1"/>
    <x v="11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20:57:04"/>
    <n v="1"/>
    <x v="12"/>
    <x v="2"/>
    <x v="2"/>
    <n v="0.81222718973851304"/>
    <n v="2E+20"/>
    <n v="0"/>
    <n v="1"/>
    <n v="1"/>
    <n v="0"/>
    <s v="Unnamed Projectws4Instantaneous UtilizationResource"/>
    <n v="1"/>
    <n v="0.81222718973851304"/>
    <n v="0"/>
    <n v="0.95"/>
    <n v="4E+20"/>
    <n v="0.81222718973851304"/>
    <n v="0.81222718973851304"/>
    <n v="2E+20"/>
  </r>
  <r>
    <x v="0"/>
    <s v="2026-07-23 20:57:04"/>
    <n v="1"/>
    <x v="12"/>
    <x v="3"/>
    <x v="2"/>
    <n v="0.81222718973851304"/>
    <n v="2E+20"/>
    <n v="0"/>
    <n v="1"/>
    <n v="1"/>
    <n v="0"/>
    <s v="Unnamed Projectws4Number BusyResource"/>
    <n v="1"/>
    <n v="0.81222718973851304"/>
    <n v="0"/>
    <n v="0.95"/>
    <n v="4E+20"/>
    <n v="0.81222718973851304"/>
    <n v="0.81222718973851304"/>
    <n v="2E+20"/>
  </r>
  <r>
    <x v="0"/>
    <s v="2026-07-23 20:57:04"/>
    <n v="1"/>
    <x v="12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6-07-23 20:57:04"/>
    <n v="1"/>
    <x v="0"/>
    <x v="0"/>
    <x v="0"/>
    <n v="1.0799911426955"/>
    <n v="3E+20"/>
    <n v="0"/>
    <n v="54.766077951740002"/>
    <n v="673"/>
    <s v="Unnamed ProjectAccess ws1.QueueWaiting TimeQueue"/>
    <n v="1"/>
    <n v="1.0799911426955"/>
    <n v="0"/>
    <n v="0.95"/>
    <n v="4E+20"/>
    <n v="1.0799911426955"/>
    <n v="1.0799911426955"/>
    <n v="0"/>
    <n v="54.766077951740002"/>
    <n v="673"/>
    <n v="3E+20"/>
    <n v="1"/>
    <n v="1"/>
  </r>
  <r>
    <x v="0"/>
    <s v="2026-07-23 20:57:04"/>
    <n v="1"/>
    <x v="1"/>
    <x v="0"/>
    <x v="0"/>
    <n v="2.6638529731279599"/>
    <n v="3E+20"/>
    <n v="0"/>
    <n v="66.367964342184706"/>
    <n v="668"/>
    <s v="Unnamed ProjectAccess ws2.QueueWaiting TimeQueue"/>
    <n v="1"/>
    <n v="2.6638529731279599"/>
    <n v="0"/>
    <n v="0.95"/>
    <n v="4E+20"/>
    <n v="2.6638529731279599"/>
    <n v="2.6638529731279599"/>
    <n v="0"/>
    <n v="66.367964342184706"/>
    <n v="668"/>
    <n v="3E+20"/>
    <n v="1"/>
    <n v="1"/>
  </r>
  <r>
    <x v="0"/>
    <s v="2026-07-23 20:57:04"/>
    <n v="1"/>
    <x v="2"/>
    <x v="0"/>
    <x v="0"/>
    <n v="0.49002835903216702"/>
    <n v="0.153181673289215"/>
    <n v="0"/>
    <n v="46.7093166396835"/>
    <n v="645"/>
    <s v="Unnamed ProjectAccess ws3.QueueWaiting TimeQueue"/>
    <n v="1"/>
    <n v="0.49002835903216702"/>
    <n v="0"/>
    <n v="0.95"/>
    <n v="4E+20"/>
    <n v="0.49002835903216702"/>
    <n v="0.49002835903216702"/>
    <n v="0"/>
    <n v="46.7093166396835"/>
    <n v="645"/>
    <n v="0.153181673289215"/>
    <n v="1"/>
    <n v="1"/>
  </r>
  <r>
    <x v="0"/>
    <s v="2026-07-23 20:57:04"/>
    <n v="1"/>
    <x v="3"/>
    <x v="0"/>
    <x v="0"/>
    <n v="12.927957944256701"/>
    <n v="3E+20"/>
    <n v="0"/>
    <n v="63"/>
    <n v="674"/>
    <s v="Unnamed ProjectHold.QueueWaiting TimeQueue"/>
    <n v="1"/>
    <n v="12.927957944256701"/>
    <n v="0"/>
    <n v="0.95"/>
    <n v="4E+20"/>
    <n v="12.927957944256701"/>
    <n v="12.927957944256701"/>
    <n v="0"/>
    <n v="63"/>
    <n v="674"/>
    <n v="3E+20"/>
    <n v="1"/>
    <n v="1"/>
  </r>
  <r>
    <x v="0"/>
    <s v="2026-07-23 20:57:04"/>
    <n v="1"/>
    <x v="4"/>
    <x v="1"/>
    <x v="1"/>
    <n v="0"/>
    <n v="0"/>
    <n v="0"/>
    <n v="0"/>
    <n v="642"/>
    <s v="Unnamed ProjectproductNVA TimeEntity"/>
    <n v="1"/>
    <n v="0"/>
    <n v="0"/>
    <n v="0.95"/>
    <n v="4E+20"/>
    <n v="0"/>
    <n v="0"/>
    <n v="0"/>
    <n v="0"/>
    <n v="642"/>
    <n v="0"/>
    <n v="1"/>
    <n v="1"/>
  </r>
  <r>
    <x v="0"/>
    <s v="2026-07-23 20:57:04"/>
    <n v="1"/>
    <x v="4"/>
    <x v="2"/>
    <x v="1"/>
    <n v="45.6253647578421"/>
    <n v="0.28020104798865297"/>
    <n v="35.914253171129502"/>
    <n v="59.601607468514402"/>
    <n v="642"/>
    <s v="Unnamed ProjectproductOther TimeEntity"/>
    <n v="1"/>
    <n v="45.6253647578421"/>
    <n v="0"/>
    <n v="0.95"/>
    <n v="4E+20"/>
    <n v="45.6253647578421"/>
    <n v="45.6253647578421"/>
    <n v="35.914253171129502"/>
    <n v="59.601607468514402"/>
    <n v="642"/>
    <n v="0.28020104798865297"/>
    <n v="1"/>
    <n v="1"/>
  </r>
  <r>
    <x v="0"/>
    <s v="2026-07-23 20:57:04"/>
    <n v="1"/>
    <x v="4"/>
    <x v="3"/>
    <x v="1"/>
    <n v="366.03042445124697"/>
    <n v="3E+20"/>
    <n v="81.064495261127007"/>
    <n v="657.02641963408996"/>
    <n v="642"/>
    <s v="Unnamed ProjectproductTotal TimeEntity"/>
    <n v="1"/>
    <n v="366.03042445124697"/>
    <n v="0"/>
    <n v="0.95"/>
    <n v="4E+20"/>
    <n v="366.03042445124697"/>
    <n v="366.03042445124697"/>
    <n v="81.064495261127007"/>
    <n v="657.02641963408996"/>
    <n v="642"/>
    <n v="3E+20"/>
    <n v="1"/>
    <n v="1"/>
  </r>
  <r>
    <x v="0"/>
    <s v="2026-07-23 20:57:04"/>
    <n v="1"/>
    <x v="4"/>
    <x v="4"/>
    <x v="1"/>
    <n v="265.44883027730799"/>
    <n v="3E+20"/>
    <n v="34"/>
    <n v="511"/>
    <n v="642"/>
    <s v="Unnamed ProjectproductTransfer TimeEntity"/>
    <n v="1"/>
    <n v="265.44883027730799"/>
    <n v="0"/>
    <n v="0.95"/>
    <n v="4E+20"/>
    <n v="265.44883027730799"/>
    <n v="265.44883027730799"/>
    <n v="34"/>
    <n v="511"/>
    <n v="642"/>
    <n v="3E+20"/>
    <n v="1"/>
    <n v="1"/>
  </r>
  <r>
    <x v="0"/>
    <s v="2026-07-23 20:57:04"/>
    <n v="1"/>
    <x v="4"/>
    <x v="5"/>
    <x v="1"/>
    <n v="0"/>
    <n v="0"/>
    <n v="0"/>
    <n v="0"/>
    <n v="642"/>
    <s v="Unnamed ProjectproductVA TimeEntity"/>
    <n v="1"/>
    <n v="0"/>
    <n v="0"/>
    <n v="0.95"/>
    <n v="4E+20"/>
    <n v="0"/>
    <n v="0"/>
    <n v="0"/>
    <n v="0"/>
    <n v="642"/>
    <n v="0"/>
    <n v="1"/>
    <n v="1"/>
  </r>
  <r>
    <x v="0"/>
    <s v="2026-07-23 20:57:04"/>
    <n v="1"/>
    <x v="4"/>
    <x v="6"/>
    <x v="1"/>
    <n v="54.956229416096399"/>
    <n v="3E+20"/>
    <n v="0"/>
    <n v="153.445695999912"/>
    <n v="642"/>
    <s v="Unnamed ProjectproductWait TimeEntity"/>
    <n v="1"/>
    <n v="54.956229416096399"/>
    <n v="0"/>
    <n v="0.95"/>
    <n v="4E+20"/>
    <n v="54.956229416096399"/>
    <n v="54.956229416096399"/>
    <n v="0"/>
    <n v="153.445695999912"/>
    <n v="642"/>
    <n v="3E+20"/>
    <n v="1"/>
    <n v="1"/>
  </r>
  <r>
    <x v="0"/>
    <s v="2026-07-23 20:57:04"/>
    <n v="1"/>
    <x v="5"/>
    <x v="0"/>
    <x v="0"/>
    <n v="1.88416518836411"/>
    <n v="0.57352438445422305"/>
    <n v="0"/>
    <n v="37.349923346584497"/>
    <n v="673"/>
    <s v="Unnamed ProjectSeize ws1.QueueWaiting TimeQueue"/>
    <n v="1"/>
    <n v="1.88416518836411"/>
    <n v="0"/>
    <n v="0.95"/>
    <n v="4E+20"/>
    <n v="1.88416518836411"/>
    <n v="1.88416518836411"/>
    <n v="0"/>
    <n v="37.349923346584497"/>
    <n v="673"/>
    <n v="0.57352438445422305"/>
    <n v="1"/>
    <n v="1"/>
  </r>
  <r>
    <x v="0"/>
    <s v="2026-07-23 20:57:04"/>
    <n v="1"/>
    <x v="6"/>
    <x v="0"/>
    <x v="0"/>
    <n v="10.2690362779324"/>
    <n v="3E+20"/>
    <n v="0"/>
    <n v="81.938948616359994"/>
    <n v="661"/>
    <s v="Unnamed ProjectSeize ws2.QueueWaiting TimeQueue"/>
    <n v="1"/>
    <n v="10.2690362779324"/>
    <n v="0"/>
    <n v="0.95"/>
    <n v="4E+20"/>
    <n v="10.2690362779324"/>
    <n v="10.2690362779324"/>
    <n v="0"/>
    <n v="81.938948616359994"/>
    <n v="661"/>
    <n v="3E+20"/>
    <n v="1"/>
    <n v="1"/>
  </r>
  <r>
    <x v="0"/>
    <s v="2026-07-23 20:57:04"/>
    <n v="1"/>
    <x v="7"/>
    <x v="0"/>
    <x v="0"/>
    <n v="12.7978868986572"/>
    <n v="1.00814825334567"/>
    <n v="0"/>
    <n v="102.655277275776"/>
    <n v="645"/>
    <s v="Unnamed ProjectSeize ws3.QueueWaiting TimeQueue"/>
    <n v="1"/>
    <n v="12.7978868986572"/>
    <n v="0"/>
    <n v="0.95"/>
    <n v="4E+20"/>
    <n v="12.7978868986572"/>
    <n v="12.7978868986572"/>
    <n v="0"/>
    <n v="102.655277275776"/>
    <n v="645"/>
    <n v="1.00814825334567"/>
    <n v="1"/>
    <n v="1"/>
  </r>
  <r>
    <x v="0"/>
    <s v="2026-07-23 20:57:04"/>
    <n v="1"/>
    <x v="8"/>
    <x v="0"/>
    <x v="0"/>
    <n v="7.8140006957494403"/>
    <n v="3E+20"/>
    <n v="0"/>
    <n v="88.432193741954507"/>
    <n v="643"/>
    <s v="Unnamed ProjectSeize ws4.QueueWaiting TimeQueue"/>
    <n v="1"/>
    <n v="7.8140006957494403"/>
    <n v="0"/>
    <n v="0.95"/>
    <n v="4E+20"/>
    <n v="7.8140006957494403"/>
    <n v="7.8140006957494403"/>
    <n v="0"/>
    <n v="88.432193741954507"/>
    <n v="643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20:57:04"/>
    <n v="1"/>
    <x v="0"/>
    <x v="0"/>
    <x v="0"/>
    <n v="642"/>
    <n v="0"/>
    <s v="Unnamed ProjectSystem.NumberOutNumber OutSystem"/>
    <n v="1"/>
    <n v="642"/>
    <n v="0"/>
    <n v="0.95"/>
    <n v="4E+20"/>
    <n v="642"/>
    <n v="642"/>
  </r>
  <r>
    <x v="0"/>
    <s v="2026-07-23 20:57:04"/>
    <n v="1"/>
    <x v="1"/>
    <x v="1"/>
    <x v="1"/>
    <n v="674"/>
    <n v="0"/>
    <s v="Unnamed Projectproduct.NumberInNumber InEntity"/>
    <n v="1"/>
    <n v="674"/>
    <n v="0"/>
    <n v="0.95"/>
    <n v="4E+20"/>
    <n v="674"/>
    <n v="674"/>
  </r>
  <r>
    <x v="0"/>
    <s v="2026-07-23 20:57:04"/>
    <n v="1"/>
    <x v="2"/>
    <x v="0"/>
    <x v="1"/>
    <n v="642"/>
    <n v="0"/>
    <s v="Unnamed Projectproduct.NumberOutNumber OutEntity"/>
    <n v="1"/>
    <n v="642"/>
    <n v="0"/>
    <n v="0.95"/>
    <n v="4E+20"/>
    <n v="642"/>
    <n v="642"/>
  </r>
  <r>
    <x v="0"/>
    <s v="2026-07-23 20:57:04"/>
    <n v="1"/>
    <x v="3"/>
    <x v="2"/>
    <x v="2"/>
    <n v="673"/>
    <n v="0"/>
    <s v="Unnamed Projectws1.NumberSeizedTotal Number SeizedResource"/>
    <n v="1"/>
    <n v="673"/>
    <n v="0"/>
    <n v="0.95"/>
    <n v="4E+20"/>
    <n v="673"/>
    <n v="673"/>
  </r>
  <r>
    <x v="0"/>
    <s v="2026-07-23 20:57:04"/>
    <n v="1"/>
    <x v="4"/>
    <x v="3"/>
    <x v="2"/>
    <n v="0.87134436544290295"/>
    <n v="0"/>
    <s v="Unnamed Projectws1.ScheduledUtilizationScheduled UtilizationResource"/>
    <n v="1"/>
    <n v="0.87134436544290295"/>
    <n v="0"/>
    <n v="0.95"/>
    <n v="4E+20"/>
    <n v="0.87134436544290295"/>
    <n v="0.87134436544290295"/>
  </r>
  <r>
    <x v="0"/>
    <s v="2026-07-23 20:57:04"/>
    <n v="1"/>
    <x v="5"/>
    <x v="2"/>
    <x v="2"/>
    <n v="661"/>
    <n v="0"/>
    <s v="Unnamed Projectws2.NumberSeizedTotal Number SeizedResource"/>
    <n v="1"/>
    <n v="661"/>
    <n v="0"/>
    <n v="0.95"/>
    <n v="4E+20"/>
    <n v="661"/>
    <n v="661"/>
  </r>
  <r>
    <x v="0"/>
    <s v="2026-07-23 20:57:04"/>
    <n v="1"/>
    <x v="6"/>
    <x v="3"/>
    <x v="2"/>
    <n v="0.78220386452352797"/>
    <n v="0"/>
    <s v="Unnamed Projectws2.ScheduledUtilizationScheduled UtilizationResource"/>
    <n v="1"/>
    <n v="0.78220386452352797"/>
    <n v="0"/>
    <n v="0.95"/>
    <n v="4E+20"/>
    <n v="0.78220386452352797"/>
    <n v="0.78220386452352797"/>
  </r>
  <r>
    <x v="0"/>
    <s v="2026-07-23 20:57:04"/>
    <n v="1"/>
    <x v="7"/>
    <x v="2"/>
    <x v="2"/>
    <n v="645"/>
    <n v="0"/>
    <s v="Unnamed Projectws3.NumberSeizedTotal Number SeizedResource"/>
    <n v="1"/>
    <n v="645"/>
    <n v="0"/>
    <n v="0.95"/>
    <n v="4E+20"/>
    <n v="645"/>
    <n v="645"/>
  </r>
  <r>
    <x v="0"/>
    <s v="2026-07-23 20:57:04"/>
    <n v="1"/>
    <x v="8"/>
    <x v="3"/>
    <x v="2"/>
    <n v="0.80404919184238099"/>
    <n v="0"/>
    <s v="Unnamed Projectws3.ScheduledUtilizationScheduled UtilizationResource"/>
    <n v="1"/>
    <n v="0.80404919184238099"/>
    <n v="0"/>
    <n v="0.95"/>
    <n v="4E+20"/>
    <n v="0.80404919184238099"/>
    <n v="0.80404919184238099"/>
  </r>
  <r>
    <x v="0"/>
    <s v="2026-07-23 20:57:04"/>
    <n v="1"/>
    <x v="9"/>
    <x v="2"/>
    <x v="2"/>
    <n v="643"/>
    <n v="0"/>
    <s v="Unnamed Projectws4.NumberSeizedTotal Number SeizedResource"/>
    <n v="1"/>
    <n v="643"/>
    <n v="0"/>
    <n v="0.95"/>
    <n v="4E+20"/>
    <n v="643"/>
    <n v="643"/>
  </r>
  <r>
    <x v="0"/>
    <s v="2026-07-23 20:57:04"/>
    <n v="1"/>
    <x v="10"/>
    <x v="3"/>
    <x v="2"/>
    <n v="0.81222718973851304"/>
    <n v="0"/>
    <s v="Unnamed Projectws4.ScheduledUtilizationScheduled UtilizationResource"/>
    <n v="1"/>
    <n v="0.81222718973851304"/>
    <n v="0"/>
    <n v="0.95"/>
    <n v="4E+20"/>
    <n v="0.81222718973851304"/>
    <n v="0.812227189738513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1.0799911426955</v>
      </c>
      <c r="F3" s="5">
        <v>1</v>
      </c>
      <c r="G3" s="5">
        <v>3E+20</v>
      </c>
      <c r="H3" s="5">
        <v>0</v>
      </c>
      <c r="I3" s="5">
        <v>1.0799911426955</v>
      </c>
      <c r="J3" s="5">
        <v>1.0799911426955</v>
      </c>
      <c r="K3" s="5">
        <v>0</v>
      </c>
      <c r="L3" s="5">
        <v>54.766077951740002</v>
      </c>
      <c r="M3" s="5">
        <v>673</v>
      </c>
      <c r="O3" t="s">
        <v>66</v>
      </c>
      <c r="P3" t="s">
        <v>70</v>
      </c>
      <c r="Q3" t="s">
        <v>88</v>
      </c>
      <c r="R3" t="s">
        <v>72</v>
      </c>
      <c r="S3" s="5">
        <v>7.2683403903407204E-2</v>
      </c>
      <c r="T3" s="5">
        <v>2.6183179241101199E-2</v>
      </c>
      <c r="U3" s="5">
        <v>0</v>
      </c>
      <c r="V3" s="5">
        <v>7.2683403903407204E-2</v>
      </c>
      <c r="W3" s="5">
        <v>7.2683403903407204E-2</v>
      </c>
      <c r="X3" s="5">
        <v>0</v>
      </c>
      <c r="Y3" s="5">
        <v>1</v>
      </c>
      <c r="AA3" t="s">
        <v>114</v>
      </c>
      <c r="AB3" t="s">
        <v>114</v>
      </c>
      <c r="AC3" t="s">
        <v>114</v>
      </c>
      <c r="AD3" t="s">
        <v>114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99</v>
      </c>
      <c r="AN3" t="s">
        <v>100</v>
      </c>
      <c r="AO3" s="5">
        <v>642</v>
      </c>
      <c r="AP3" s="5">
        <v>4E+20</v>
      </c>
      <c r="AQ3" s="5">
        <v>0</v>
      </c>
      <c r="AR3" s="5">
        <v>642</v>
      </c>
      <c r="AS3" s="5">
        <v>642</v>
      </c>
      <c r="AU3" t="s">
        <v>114</v>
      </c>
      <c r="AV3" t="s">
        <v>114</v>
      </c>
      <c r="AW3" t="s">
        <v>114</v>
      </c>
      <c r="AX3" t="s">
        <v>114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2.6638529731279599</v>
      </c>
      <c r="F4" s="5">
        <v>1</v>
      </c>
      <c r="G4" s="5">
        <v>3E+20</v>
      </c>
      <c r="H4" s="5">
        <v>0</v>
      </c>
      <c r="I4" s="5">
        <v>2.6638529731279599</v>
      </c>
      <c r="J4" s="5">
        <v>2.6638529731279599</v>
      </c>
      <c r="K4" s="5">
        <v>0</v>
      </c>
      <c r="L4" s="5">
        <v>66.367964342184706</v>
      </c>
      <c r="M4" s="5">
        <v>668</v>
      </c>
      <c r="P4" t="s">
        <v>73</v>
      </c>
      <c r="Q4" t="s">
        <v>88</v>
      </c>
      <c r="R4" t="s">
        <v>72</v>
      </c>
      <c r="S4" s="5">
        <v>0.177945378604947</v>
      </c>
      <c r="T4" s="5">
        <v>3E+20</v>
      </c>
      <c r="U4" s="5">
        <v>0</v>
      </c>
      <c r="V4" s="5">
        <v>0.177945378604947</v>
      </c>
      <c r="W4" s="5">
        <v>0.177945378604947</v>
      </c>
      <c r="X4" s="5">
        <v>0</v>
      </c>
      <c r="Y4" s="5">
        <v>1</v>
      </c>
      <c r="AL4" t="s">
        <v>101</v>
      </c>
      <c r="AM4" t="s">
        <v>102</v>
      </c>
      <c r="AN4" t="s">
        <v>82</v>
      </c>
      <c r="AO4" s="5">
        <v>674</v>
      </c>
      <c r="AP4" s="5">
        <v>4E+20</v>
      </c>
      <c r="AQ4" s="5">
        <v>0</v>
      </c>
      <c r="AR4" s="5">
        <v>674</v>
      </c>
      <c r="AS4" s="5">
        <v>674</v>
      </c>
    </row>
    <row r="5" spans="1:52" x14ac:dyDescent="0.35">
      <c r="B5" t="s">
        <v>74</v>
      </c>
      <c r="C5" t="s">
        <v>71</v>
      </c>
      <c r="D5" t="s">
        <v>72</v>
      </c>
      <c r="E5" s="5">
        <v>0.49002835903216702</v>
      </c>
      <c r="F5" s="5">
        <v>1</v>
      </c>
      <c r="G5" s="5">
        <v>0.153181673289215</v>
      </c>
      <c r="H5" s="5">
        <v>0</v>
      </c>
      <c r="I5" s="5">
        <v>0.49002835903216702</v>
      </c>
      <c r="J5" s="5">
        <v>0.49002835903216702</v>
      </c>
      <c r="K5" s="5">
        <v>0</v>
      </c>
      <c r="L5" s="5">
        <v>46.7093166396835</v>
      </c>
      <c r="M5" s="5">
        <v>645</v>
      </c>
      <c r="P5" t="s">
        <v>74</v>
      </c>
      <c r="Q5" t="s">
        <v>88</v>
      </c>
      <c r="R5" t="s">
        <v>72</v>
      </c>
      <c r="S5" s="5">
        <v>3.1606829157574699E-2</v>
      </c>
      <c r="T5" s="5">
        <v>9.9719831504079797E-3</v>
      </c>
      <c r="U5" s="5">
        <v>0</v>
      </c>
      <c r="V5" s="5">
        <v>3.1606829157574699E-2</v>
      </c>
      <c r="W5" s="5">
        <v>3.1606829157574699E-2</v>
      </c>
      <c r="X5" s="5">
        <v>0</v>
      </c>
      <c r="Y5" s="5">
        <v>1</v>
      </c>
      <c r="AL5" t="s">
        <v>103</v>
      </c>
      <c r="AM5" t="s">
        <v>99</v>
      </c>
      <c r="AN5" t="s">
        <v>82</v>
      </c>
      <c r="AO5" s="5">
        <v>642</v>
      </c>
      <c r="AP5" s="5">
        <v>4E+20</v>
      </c>
      <c r="AQ5" s="5">
        <v>0</v>
      </c>
      <c r="AR5" s="5">
        <v>642</v>
      </c>
      <c r="AS5" s="5">
        <v>642</v>
      </c>
    </row>
    <row r="6" spans="1:52" x14ac:dyDescent="0.35">
      <c r="B6" t="s">
        <v>75</v>
      </c>
      <c r="C6" t="s">
        <v>71</v>
      </c>
      <c r="D6" t="s">
        <v>72</v>
      </c>
      <c r="E6" s="5">
        <v>12.927957944256701</v>
      </c>
      <c r="F6" s="5">
        <v>1</v>
      </c>
      <c r="G6" s="5">
        <v>3E+20</v>
      </c>
      <c r="H6" s="5">
        <v>0</v>
      </c>
      <c r="I6" s="5">
        <v>12.927957944256701</v>
      </c>
      <c r="J6" s="5">
        <v>12.927957944256701</v>
      </c>
      <c r="K6" s="5">
        <v>0</v>
      </c>
      <c r="L6" s="5">
        <v>63</v>
      </c>
      <c r="M6" s="5">
        <v>674</v>
      </c>
      <c r="P6" t="s">
        <v>75</v>
      </c>
      <c r="Q6" t="s">
        <v>88</v>
      </c>
      <c r="R6" t="s">
        <v>72</v>
      </c>
      <c r="S6" s="5">
        <v>0.87134436544290295</v>
      </c>
      <c r="T6" s="5">
        <v>2E+20</v>
      </c>
      <c r="U6" s="5">
        <v>0</v>
      </c>
      <c r="V6" s="5">
        <v>0.87134436544290295</v>
      </c>
      <c r="W6" s="5">
        <v>0.87134436544290295</v>
      </c>
      <c r="X6" s="5">
        <v>0</v>
      </c>
      <c r="Y6" s="5">
        <v>1</v>
      </c>
      <c r="AL6" t="s">
        <v>104</v>
      </c>
      <c r="AM6" t="s">
        <v>105</v>
      </c>
      <c r="AN6" t="s">
        <v>92</v>
      </c>
      <c r="AO6" s="5">
        <v>673</v>
      </c>
      <c r="AP6" s="5">
        <v>4E+20</v>
      </c>
      <c r="AQ6" s="5">
        <v>0</v>
      </c>
      <c r="AR6" s="5">
        <v>673</v>
      </c>
      <c r="AS6" s="5">
        <v>673</v>
      </c>
    </row>
    <row r="7" spans="1:52" x14ac:dyDescent="0.35">
      <c r="B7" t="s">
        <v>80</v>
      </c>
      <c r="C7" t="s">
        <v>81</v>
      </c>
      <c r="D7" t="s">
        <v>82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642</v>
      </c>
      <c r="P7" t="s">
        <v>76</v>
      </c>
      <c r="Q7" t="s">
        <v>88</v>
      </c>
      <c r="R7" t="s">
        <v>72</v>
      </c>
      <c r="S7" s="5">
        <v>0.128655634557096</v>
      </c>
      <c r="T7" s="5">
        <v>2E+20</v>
      </c>
      <c r="U7" s="5">
        <v>0</v>
      </c>
      <c r="V7" s="5">
        <v>0.128655634557096</v>
      </c>
      <c r="W7" s="5">
        <v>0.128655634557096</v>
      </c>
      <c r="X7" s="5">
        <v>0</v>
      </c>
      <c r="Y7" s="5">
        <v>1</v>
      </c>
      <c r="AL7" t="s">
        <v>106</v>
      </c>
      <c r="AM7" t="s">
        <v>107</v>
      </c>
      <c r="AN7" t="s">
        <v>92</v>
      </c>
      <c r="AO7" s="5">
        <v>0.87134436544290295</v>
      </c>
      <c r="AP7" s="5">
        <v>4E+20</v>
      </c>
      <c r="AQ7" s="5">
        <v>0</v>
      </c>
      <c r="AR7" s="5">
        <v>0.87134436544290295</v>
      </c>
      <c r="AS7" s="5">
        <v>0.87134436544290295</v>
      </c>
    </row>
    <row r="8" spans="1:52" x14ac:dyDescent="0.35">
      <c r="C8" t="s">
        <v>83</v>
      </c>
      <c r="D8" t="s">
        <v>82</v>
      </c>
      <c r="E8" s="5">
        <v>45.6253647578421</v>
      </c>
      <c r="F8" s="5">
        <v>1</v>
      </c>
      <c r="G8" s="5">
        <v>0.28020104798865297</v>
      </c>
      <c r="H8" s="5">
        <v>0</v>
      </c>
      <c r="I8" s="5">
        <v>45.6253647578421</v>
      </c>
      <c r="J8" s="5">
        <v>45.6253647578421</v>
      </c>
      <c r="K8" s="5">
        <v>35.914253171129502</v>
      </c>
      <c r="L8" s="5">
        <v>59.601607468514402</v>
      </c>
      <c r="M8" s="5">
        <v>642</v>
      </c>
      <c r="P8" t="s">
        <v>77</v>
      </c>
      <c r="Q8" t="s">
        <v>88</v>
      </c>
      <c r="R8" t="s">
        <v>72</v>
      </c>
      <c r="S8" s="5">
        <v>0.67933461535152095</v>
      </c>
      <c r="T8" s="5">
        <v>3E+20</v>
      </c>
      <c r="U8" s="5">
        <v>0</v>
      </c>
      <c r="V8" s="5">
        <v>0.67933461535152095</v>
      </c>
      <c r="W8" s="5">
        <v>0.67933461535152095</v>
      </c>
      <c r="X8" s="5">
        <v>0</v>
      </c>
      <c r="Y8" s="5">
        <v>1</v>
      </c>
      <c r="AL8" t="s">
        <v>108</v>
      </c>
      <c r="AM8" t="s">
        <v>105</v>
      </c>
      <c r="AN8" t="s">
        <v>92</v>
      </c>
      <c r="AO8" s="5">
        <v>661</v>
      </c>
      <c r="AP8" s="5">
        <v>4E+20</v>
      </c>
      <c r="AQ8" s="5">
        <v>0</v>
      </c>
      <c r="AR8" s="5">
        <v>661</v>
      </c>
      <c r="AS8" s="5">
        <v>661</v>
      </c>
    </row>
    <row r="9" spans="1:52" x14ac:dyDescent="0.35">
      <c r="C9" t="s">
        <v>84</v>
      </c>
      <c r="D9" t="s">
        <v>82</v>
      </c>
      <c r="E9" s="5">
        <v>366.03042445124697</v>
      </c>
      <c r="F9" s="5">
        <v>1</v>
      </c>
      <c r="G9" s="5">
        <v>3E+20</v>
      </c>
      <c r="H9" s="5">
        <v>0</v>
      </c>
      <c r="I9" s="5">
        <v>366.03042445124697</v>
      </c>
      <c r="J9" s="5">
        <v>366.03042445124697</v>
      </c>
      <c r="K9" s="5">
        <v>81.064495261127007</v>
      </c>
      <c r="L9" s="5">
        <v>657.02641963408996</v>
      </c>
      <c r="M9" s="5">
        <v>642</v>
      </c>
      <c r="P9" t="s">
        <v>78</v>
      </c>
      <c r="Q9" t="s">
        <v>88</v>
      </c>
      <c r="R9" t="s">
        <v>72</v>
      </c>
      <c r="S9" s="5">
        <v>0.82612008710215801</v>
      </c>
      <c r="T9" s="5">
        <v>3E+20</v>
      </c>
      <c r="U9" s="5">
        <v>0</v>
      </c>
      <c r="V9" s="5">
        <v>0.82612008710215801</v>
      </c>
      <c r="W9" s="5">
        <v>0.82612008710215801</v>
      </c>
      <c r="X9" s="5">
        <v>0</v>
      </c>
      <c r="Y9" s="5">
        <v>1</v>
      </c>
      <c r="AL9" t="s">
        <v>109</v>
      </c>
      <c r="AM9" t="s">
        <v>107</v>
      </c>
      <c r="AN9" t="s">
        <v>92</v>
      </c>
      <c r="AO9" s="5">
        <v>0.78220386452352797</v>
      </c>
      <c r="AP9" s="5">
        <v>4E+20</v>
      </c>
      <c r="AQ9" s="5">
        <v>0</v>
      </c>
      <c r="AR9" s="5">
        <v>0.78220386452352797</v>
      </c>
      <c r="AS9" s="5">
        <v>0.78220386452352797</v>
      </c>
    </row>
    <row r="10" spans="1:52" x14ac:dyDescent="0.35">
      <c r="C10" t="s">
        <v>85</v>
      </c>
      <c r="D10" t="s">
        <v>82</v>
      </c>
      <c r="E10" s="5">
        <v>265.44883027730799</v>
      </c>
      <c r="F10" s="5">
        <v>1</v>
      </c>
      <c r="G10" s="5">
        <v>3E+20</v>
      </c>
      <c r="H10" s="5">
        <v>0</v>
      </c>
      <c r="I10" s="5">
        <v>265.44883027730799</v>
      </c>
      <c r="J10" s="5">
        <v>265.44883027730799</v>
      </c>
      <c r="K10" s="5">
        <v>34</v>
      </c>
      <c r="L10" s="5">
        <v>511</v>
      </c>
      <c r="M10" s="5">
        <v>642</v>
      </c>
      <c r="P10" t="s">
        <v>79</v>
      </c>
      <c r="Q10" t="s">
        <v>88</v>
      </c>
      <c r="R10" t="s">
        <v>72</v>
      </c>
      <c r="S10" s="5">
        <v>0.50271177100753694</v>
      </c>
      <c r="T10" s="5">
        <v>3E+20</v>
      </c>
      <c r="U10" s="5">
        <v>0</v>
      </c>
      <c r="V10" s="5">
        <v>0.50271177100753694</v>
      </c>
      <c r="W10" s="5">
        <v>0.50271177100753694</v>
      </c>
      <c r="X10" s="5">
        <v>0</v>
      </c>
      <c r="Y10" s="5">
        <v>1</v>
      </c>
      <c r="AL10" t="s">
        <v>110</v>
      </c>
      <c r="AM10" t="s">
        <v>105</v>
      </c>
      <c r="AN10" t="s">
        <v>92</v>
      </c>
      <c r="AO10" s="5">
        <v>645</v>
      </c>
      <c r="AP10" s="5">
        <v>4E+20</v>
      </c>
      <c r="AQ10" s="5">
        <v>0</v>
      </c>
      <c r="AR10" s="5">
        <v>645</v>
      </c>
      <c r="AS10" s="5">
        <v>645</v>
      </c>
    </row>
    <row r="11" spans="1:52" x14ac:dyDescent="0.35">
      <c r="C11" t="s">
        <v>86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642</v>
      </c>
      <c r="P11" t="s">
        <v>80</v>
      </c>
      <c r="Q11" t="s">
        <v>89</v>
      </c>
      <c r="R11" t="s">
        <v>82</v>
      </c>
      <c r="S11" s="5">
        <v>24.407600350403499</v>
      </c>
      <c r="T11" s="5">
        <v>3E+20</v>
      </c>
      <c r="U11" s="5">
        <v>0</v>
      </c>
      <c r="V11" s="5">
        <v>24.407600350403499</v>
      </c>
      <c r="W11" s="5">
        <v>24.407600350403499</v>
      </c>
      <c r="X11" s="5">
        <v>0</v>
      </c>
      <c r="Y11" s="5">
        <v>40</v>
      </c>
      <c r="AL11" t="s">
        <v>111</v>
      </c>
      <c r="AM11" t="s">
        <v>107</v>
      </c>
      <c r="AN11" t="s">
        <v>92</v>
      </c>
      <c r="AO11" s="5">
        <v>0.80404919184238099</v>
      </c>
      <c r="AP11" s="5">
        <v>4E+20</v>
      </c>
      <c r="AQ11" s="5">
        <v>0</v>
      </c>
      <c r="AR11" s="5">
        <v>0.80404919184238099</v>
      </c>
      <c r="AS11" s="5">
        <v>0.80404919184238099</v>
      </c>
    </row>
    <row r="12" spans="1:52" x14ac:dyDescent="0.35">
      <c r="C12" t="s">
        <v>87</v>
      </c>
      <c r="D12" t="s">
        <v>82</v>
      </c>
      <c r="E12" s="5">
        <v>54.956229416096399</v>
      </c>
      <c r="F12" s="5">
        <v>1</v>
      </c>
      <c r="G12" s="5">
        <v>3E+20</v>
      </c>
      <c r="H12" s="5">
        <v>0</v>
      </c>
      <c r="I12" s="5">
        <v>54.956229416096399</v>
      </c>
      <c r="J12" s="5">
        <v>54.956229416096399</v>
      </c>
      <c r="K12" s="5">
        <v>0</v>
      </c>
      <c r="L12" s="5">
        <v>153.445695999912</v>
      </c>
      <c r="M12" s="5">
        <v>642</v>
      </c>
      <c r="P12" t="s">
        <v>90</v>
      </c>
      <c r="Q12" t="s">
        <v>91</v>
      </c>
      <c r="R12" t="s">
        <v>92</v>
      </c>
      <c r="S12" s="5">
        <v>0.87134436544290295</v>
      </c>
      <c r="T12" s="5">
        <v>2E+20</v>
      </c>
      <c r="U12" s="5">
        <v>0</v>
      </c>
      <c r="V12" s="5">
        <v>0.87134436544290295</v>
      </c>
      <c r="W12" s="5">
        <v>0.87134436544290295</v>
      </c>
      <c r="X12" s="5">
        <v>0</v>
      </c>
      <c r="Y12" s="5">
        <v>1</v>
      </c>
      <c r="AL12" t="s">
        <v>112</v>
      </c>
      <c r="AM12" t="s">
        <v>105</v>
      </c>
      <c r="AN12" t="s">
        <v>92</v>
      </c>
      <c r="AO12" s="5">
        <v>643</v>
      </c>
      <c r="AP12" s="5">
        <v>4E+20</v>
      </c>
      <c r="AQ12" s="5">
        <v>0</v>
      </c>
      <c r="AR12" s="5">
        <v>643</v>
      </c>
      <c r="AS12" s="5">
        <v>643</v>
      </c>
    </row>
    <row r="13" spans="1:52" x14ac:dyDescent="0.35">
      <c r="B13" t="s">
        <v>76</v>
      </c>
      <c r="C13" t="s">
        <v>71</v>
      </c>
      <c r="D13" t="s">
        <v>72</v>
      </c>
      <c r="E13" s="5">
        <v>1.88416518836411</v>
      </c>
      <c r="F13" s="5">
        <v>1</v>
      </c>
      <c r="G13" s="5">
        <v>0.57352438445422305</v>
      </c>
      <c r="H13" s="5">
        <v>0</v>
      </c>
      <c r="I13" s="5">
        <v>1.88416518836411</v>
      </c>
      <c r="J13" s="5">
        <v>1.88416518836411</v>
      </c>
      <c r="K13" s="5">
        <v>0</v>
      </c>
      <c r="L13" s="5">
        <v>37.349923346584497</v>
      </c>
      <c r="M13" s="5">
        <v>673</v>
      </c>
      <c r="Q13" t="s">
        <v>93</v>
      </c>
      <c r="R13" t="s">
        <v>92</v>
      </c>
      <c r="S13" s="5">
        <v>0.87134436544290295</v>
      </c>
      <c r="T13" s="5">
        <v>2E+20</v>
      </c>
      <c r="U13" s="5">
        <v>0</v>
      </c>
      <c r="V13" s="5">
        <v>0.87134436544290295</v>
      </c>
      <c r="W13" s="5">
        <v>0.87134436544290295</v>
      </c>
      <c r="X13" s="5">
        <v>0</v>
      </c>
      <c r="Y13" s="5">
        <v>1</v>
      </c>
      <c r="AL13" t="s">
        <v>113</v>
      </c>
      <c r="AM13" t="s">
        <v>107</v>
      </c>
      <c r="AN13" t="s">
        <v>92</v>
      </c>
      <c r="AO13" s="5">
        <v>0.81222718973851304</v>
      </c>
      <c r="AP13" s="5">
        <v>4E+20</v>
      </c>
      <c r="AQ13" s="5">
        <v>0</v>
      </c>
      <c r="AR13" s="5">
        <v>0.81222718973851304</v>
      </c>
      <c r="AS13" s="5">
        <v>0.81222718973851304</v>
      </c>
    </row>
    <row r="14" spans="1:52" x14ac:dyDescent="0.35">
      <c r="B14" t="s">
        <v>77</v>
      </c>
      <c r="C14" t="s">
        <v>71</v>
      </c>
      <c r="D14" t="s">
        <v>72</v>
      </c>
      <c r="E14" s="5">
        <v>10.2690362779324</v>
      </c>
      <c r="F14" s="5">
        <v>1</v>
      </c>
      <c r="G14" s="5">
        <v>3E+20</v>
      </c>
      <c r="H14" s="5">
        <v>0</v>
      </c>
      <c r="I14" s="5">
        <v>10.2690362779324</v>
      </c>
      <c r="J14" s="5">
        <v>10.2690362779324</v>
      </c>
      <c r="K14" s="5">
        <v>0</v>
      </c>
      <c r="L14" s="5">
        <v>81.938948616359994</v>
      </c>
      <c r="M14" s="5">
        <v>661</v>
      </c>
      <c r="Q14" t="s">
        <v>94</v>
      </c>
      <c r="R14" t="s">
        <v>92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B15" t="s">
        <v>78</v>
      </c>
      <c r="C15" t="s">
        <v>71</v>
      </c>
      <c r="D15" t="s">
        <v>72</v>
      </c>
      <c r="E15" s="5">
        <v>12.7978868986572</v>
      </c>
      <c r="F15" s="5">
        <v>1</v>
      </c>
      <c r="G15" s="5">
        <v>1.00814825334567</v>
      </c>
      <c r="H15" s="5">
        <v>0</v>
      </c>
      <c r="I15" s="5">
        <v>12.7978868986572</v>
      </c>
      <c r="J15" s="5">
        <v>12.7978868986572</v>
      </c>
      <c r="K15" s="5">
        <v>0</v>
      </c>
      <c r="L15" s="5">
        <v>102.655277275776</v>
      </c>
      <c r="M15" s="5">
        <v>645</v>
      </c>
      <c r="P15" t="s">
        <v>95</v>
      </c>
      <c r="Q15" t="s">
        <v>91</v>
      </c>
      <c r="R15" t="s">
        <v>92</v>
      </c>
      <c r="S15" s="5">
        <v>0.78220386452352797</v>
      </c>
      <c r="T15" s="5">
        <v>2E+20</v>
      </c>
      <c r="U15" s="5">
        <v>0</v>
      </c>
      <c r="V15" s="5">
        <v>0.78220386452352797</v>
      </c>
      <c r="W15" s="5">
        <v>0.78220386452352797</v>
      </c>
      <c r="X15" s="5">
        <v>0</v>
      </c>
      <c r="Y15" s="5">
        <v>1</v>
      </c>
    </row>
    <row r="16" spans="1:52" x14ac:dyDescent="0.35">
      <c r="B16" t="s">
        <v>79</v>
      </c>
      <c r="C16" t="s">
        <v>71</v>
      </c>
      <c r="D16" t="s">
        <v>72</v>
      </c>
      <c r="E16" s="5">
        <v>7.8140006957494403</v>
      </c>
      <c r="F16" s="5">
        <v>1</v>
      </c>
      <c r="G16" s="5">
        <v>3E+20</v>
      </c>
      <c r="H16" s="5">
        <v>0</v>
      </c>
      <c r="I16" s="5">
        <v>7.8140006957494403</v>
      </c>
      <c r="J16" s="5">
        <v>7.8140006957494403</v>
      </c>
      <c r="K16" s="5">
        <v>0</v>
      </c>
      <c r="L16" s="5">
        <v>88.432193741954507</v>
      </c>
      <c r="M16" s="5">
        <v>643</v>
      </c>
      <c r="Q16" t="s">
        <v>93</v>
      </c>
      <c r="R16" t="s">
        <v>92</v>
      </c>
      <c r="S16" s="5">
        <v>0.78220386452352797</v>
      </c>
      <c r="T16" s="5">
        <v>2E+20</v>
      </c>
      <c r="U16" s="5">
        <v>0</v>
      </c>
      <c r="V16" s="5">
        <v>0.78220386452352797</v>
      </c>
      <c r="W16" s="5">
        <v>0.78220386452352797</v>
      </c>
      <c r="X16" s="5">
        <v>0</v>
      </c>
      <c r="Y16" s="5">
        <v>1</v>
      </c>
    </row>
    <row r="17" spans="16:25" x14ac:dyDescent="0.35">
      <c r="Q17" t="s">
        <v>94</v>
      </c>
      <c r="R17" t="s">
        <v>92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16:25" x14ac:dyDescent="0.35">
      <c r="P18" t="s">
        <v>96</v>
      </c>
      <c r="Q18" t="s">
        <v>91</v>
      </c>
      <c r="R18" t="s">
        <v>92</v>
      </c>
      <c r="S18" s="5">
        <v>0.80404919184238099</v>
      </c>
      <c r="T18" s="5">
        <v>2E+20</v>
      </c>
      <c r="U18" s="5">
        <v>0</v>
      </c>
      <c r="V18" s="5">
        <v>0.80404919184238099</v>
      </c>
      <c r="W18" s="5">
        <v>0.80404919184238099</v>
      </c>
      <c r="X18" s="5">
        <v>0</v>
      </c>
      <c r="Y18" s="5">
        <v>1</v>
      </c>
    </row>
    <row r="19" spans="16:25" x14ac:dyDescent="0.35">
      <c r="Q19" t="s">
        <v>93</v>
      </c>
      <c r="R19" t="s">
        <v>92</v>
      </c>
      <c r="S19" s="5">
        <v>0.80404919184238099</v>
      </c>
      <c r="T19" s="5">
        <v>2E+20</v>
      </c>
      <c r="U19" s="5">
        <v>0</v>
      </c>
      <c r="V19" s="5">
        <v>0.80404919184238099</v>
      </c>
      <c r="W19" s="5">
        <v>0.80404919184238099</v>
      </c>
      <c r="X19" s="5">
        <v>0</v>
      </c>
      <c r="Y19" s="5">
        <v>1</v>
      </c>
    </row>
    <row r="20" spans="16:25" x14ac:dyDescent="0.35">
      <c r="Q20" t="s">
        <v>94</v>
      </c>
      <c r="R20" t="s">
        <v>92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25" x14ac:dyDescent="0.35">
      <c r="P21" t="s">
        <v>97</v>
      </c>
      <c r="Q21" t="s">
        <v>91</v>
      </c>
      <c r="R21" t="s">
        <v>92</v>
      </c>
      <c r="S21" s="5">
        <v>0.81222718973851304</v>
      </c>
      <c r="T21" s="5">
        <v>2E+20</v>
      </c>
      <c r="U21" s="5">
        <v>0</v>
      </c>
      <c r="V21" s="5">
        <v>0.81222718973851304</v>
      </c>
      <c r="W21" s="5">
        <v>0.81222718973851304</v>
      </c>
      <c r="X21" s="5">
        <v>0</v>
      </c>
      <c r="Y21" s="5">
        <v>1</v>
      </c>
    </row>
    <row r="22" spans="16:25" x14ac:dyDescent="0.35">
      <c r="Q22" t="s">
        <v>93</v>
      </c>
      <c r="R22" t="s">
        <v>92</v>
      </c>
      <c r="S22" s="5">
        <v>0.81222718973851304</v>
      </c>
      <c r="T22" s="5">
        <v>2E+20</v>
      </c>
      <c r="U22" s="5">
        <v>0</v>
      </c>
      <c r="V22" s="5">
        <v>0.81222718973851304</v>
      </c>
      <c r="W22" s="5">
        <v>0.81222718973851304</v>
      </c>
      <c r="X22" s="5">
        <v>0</v>
      </c>
      <c r="Y22" s="5">
        <v>1</v>
      </c>
    </row>
    <row r="23" spans="16:25" x14ac:dyDescent="0.35">
      <c r="Q23" t="s">
        <v>94</v>
      </c>
      <c r="R23" t="s">
        <v>92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1.0799911426955</v>
      </c>
      <c r="H2">
        <v>3E+20</v>
      </c>
      <c r="I2">
        <v>0</v>
      </c>
      <c r="J2">
        <v>54.766077951740002</v>
      </c>
      <c r="K2">
        <v>673</v>
      </c>
      <c r="L2" t="str">
        <f>DiscreteStatsTable[[#This Row],[ProjectName]]&amp;DiscreteStatsTable[[#This Row],[Name]]&amp;DiscreteStatsTable[[#This Row],[Type]]&amp;DiscreteStatsTable[[#This Row],[Source]]</f>
        <v>Unnamed ProjectAccess ws1.QueueWaiting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1.0799911426955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1.0799911426955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1.0799911426955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54.766077951740002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673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2.6638529731279599</v>
      </c>
      <c r="H3">
        <v>3E+20</v>
      </c>
      <c r="I3">
        <v>0</v>
      </c>
      <c r="J3">
        <v>66.367964342184706</v>
      </c>
      <c r="K3">
        <v>668</v>
      </c>
      <c r="L3" t="str">
        <f>DiscreteStatsTable[[#This Row],[ProjectName]]&amp;DiscreteStatsTable[[#This Row],[Name]]&amp;DiscreteStatsTable[[#This Row],[Type]]&amp;DiscreteStatsTable[[#This Row],[Source]]</f>
        <v>Unnamed ProjectAccess ws2.QueueWaiting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2.6638529731279599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2.6638529731279599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2.6638529731279599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66.367964342184706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668</v>
      </c>
      <c r="W3">
        <f>IF((DiscreteStatsTable[[#This Row],[RepsRequested]]&gt;1),DiscreteStatsTable[[#This Row],[HalfWidth]],DiscreteStatsTable[[#This Row],[BatchMeansHalfWidth]])</f>
        <v>3E+20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0.49002835903216702</v>
      </c>
      <c r="H4">
        <v>0.153181673289215</v>
      </c>
      <c r="I4">
        <v>0</v>
      </c>
      <c r="J4">
        <v>46.7093166396835</v>
      </c>
      <c r="K4">
        <v>645</v>
      </c>
      <c r="L4" t="str">
        <f>DiscreteStatsTable[[#This Row],[ProjectName]]&amp;DiscreteStatsTable[[#This Row],[Name]]&amp;DiscreteStatsTable[[#This Row],[Type]]&amp;DiscreteStatsTable[[#This Row],[Source]]</f>
        <v>Unnamed ProjectAccess ws3.QueueWaiting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0.49002835903216702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0.49002835903216702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0.49002835903216702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46.7093166396835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645</v>
      </c>
      <c r="W4">
        <f>IF((DiscreteStatsTable[[#This Row],[RepsRequested]]&gt;1),DiscreteStatsTable[[#This Row],[HalfWidth]],DiscreteStatsTable[[#This Row],[BatchMeansHalfWidth]])</f>
        <v>0.153181673289215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12.927957944256701</v>
      </c>
      <c r="H5">
        <v>3E+20</v>
      </c>
      <c r="I5">
        <v>0</v>
      </c>
      <c r="J5">
        <v>63</v>
      </c>
      <c r="K5">
        <v>674</v>
      </c>
      <c r="L5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12.927957944256701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12.927957944256701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12.927957944256701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674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80</v>
      </c>
      <c r="E6" t="s">
        <v>81</v>
      </c>
      <c r="F6" t="s">
        <v>82</v>
      </c>
      <c r="G6">
        <v>0</v>
      </c>
      <c r="H6">
        <v>0</v>
      </c>
      <c r="I6">
        <v>0</v>
      </c>
      <c r="J6">
        <v>0</v>
      </c>
      <c r="K6">
        <v>642</v>
      </c>
      <c r="L6" t="str">
        <f>DiscreteStatsTable[[#This Row],[ProjectName]]&amp;DiscreteStatsTable[[#This Row],[Name]]&amp;DiscreteStatsTable[[#This Row],[Type]]&amp;DiscreteStatsTable[[#This Row],[Source]]</f>
        <v>Unnamed ProjectproductNVA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642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80</v>
      </c>
      <c r="E7" t="s">
        <v>83</v>
      </c>
      <c r="F7" t="s">
        <v>82</v>
      </c>
      <c r="G7">
        <v>45.6253647578421</v>
      </c>
      <c r="H7">
        <v>0.28020104798865297</v>
      </c>
      <c r="I7">
        <v>35.914253171129502</v>
      </c>
      <c r="J7">
        <v>59.601607468514402</v>
      </c>
      <c r="K7">
        <v>642</v>
      </c>
      <c r="L7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45.6253647578421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45.6253647578421</v>
      </c>
      <c r="S7" cm="1">
        <f t="array" ref="S7">MAX(IF((DiscreteStatsTable[GroupByKey]=DiscreteStatsTable[[#This Row],[GroupByKey]]),(DiscreteStatsTable[GroupByKey]=DiscreteStatsTable[[#This Row],[GroupByKey]])*DiscreteStatsTable[Average]))</f>
        <v>45.6253647578421</v>
      </c>
      <c r="T7" cm="1">
        <f t="array" ref="T7">MIN(IF((DiscreteStatsTable[GroupByKey]=DiscreteStatsTable[[#This Row],[GroupByKey]]),(DiscreteStatsTable[GroupByKey]=DiscreteStatsTable[[#This Row],[GroupByKey]])*DiscreteStatsTable[Minimum]))</f>
        <v>35.914253171129502</v>
      </c>
      <c r="U7" cm="1">
        <f t="array" ref="U7">MAX(IF((DiscreteStatsTable[GroupByKey]=DiscreteStatsTable[[#This Row],[GroupByKey]]),(DiscreteStatsTable[GroupByKey]=DiscreteStatsTable[[#This Row],[GroupByKey]])*DiscreteStatsTable[Maximum]))</f>
        <v>59.601607468514402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642</v>
      </c>
      <c r="W7">
        <f>IF((DiscreteStatsTable[[#This Row],[RepsRequested]]&gt;1),DiscreteStatsTable[[#This Row],[HalfWidth]],DiscreteStatsTable[[#This Row],[BatchMeansHalfWidth]])</f>
        <v>0.28020104798865297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80</v>
      </c>
      <c r="E8" t="s">
        <v>84</v>
      </c>
      <c r="F8" t="s">
        <v>82</v>
      </c>
      <c r="G8">
        <v>366.03042445124697</v>
      </c>
      <c r="H8">
        <v>3E+20</v>
      </c>
      <c r="I8">
        <v>81.064495261127007</v>
      </c>
      <c r="J8">
        <v>657.02641963408996</v>
      </c>
      <c r="K8">
        <v>642</v>
      </c>
      <c r="L8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366.03042445124697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366.03042445124697</v>
      </c>
      <c r="S8" cm="1">
        <f t="array" ref="S8">MAX(IF((DiscreteStatsTable[GroupByKey]=DiscreteStatsTable[[#This Row],[GroupByKey]]),(DiscreteStatsTable[GroupByKey]=DiscreteStatsTable[[#This Row],[GroupByKey]])*DiscreteStatsTable[Average]))</f>
        <v>366.03042445124697</v>
      </c>
      <c r="T8" cm="1">
        <f t="array" ref="T8">MIN(IF((DiscreteStatsTable[GroupByKey]=DiscreteStatsTable[[#This Row],[GroupByKey]]),(DiscreteStatsTable[GroupByKey]=DiscreteStatsTable[[#This Row],[GroupByKey]])*DiscreteStatsTable[Minimum]))</f>
        <v>81.064495261127007</v>
      </c>
      <c r="U8" cm="1">
        <f t="array" ref="U8">MAX(IF((DiscreteStatsTable[GroupByKey]=DiscreteStatsTable[[#This Row],[GroupByKey]]),(DiscreteStatsTable[GroupByKey]=DiscreteStatsTable[[#This Row],[GroupByKey]])*DiscreteStatsTable[Maximum]))</f>
        <v>657.02641963408996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642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80</v>
      </c>
      <c r="E9" t="s">
        <v>85</v>
      </c>
      <c r="F9" t="s">
        <v>82</v>
      </c>
      <c r="G9">
        <v>265.44883027730799</v>
      </c>
      <c r="H9">
        <v>3E+20</v>
      </c>
      <c r="I9">
        <v>34</v>
      </c>
      <c r="J9">
        <v>511</v>
      </c>
      <c r="K9">
        <v>642</v>
      </c>
      <c r="L9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265.44883027730799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265.44883027730799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265.44883027730799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34</v>
      </c>
      <c r="U9" cm="1">
        <f t="array" ref="U9">MAX(IF((DiscreteStatsTable[GroupByKey]=DiscreteStatsTable[[#This Row],[GroupByKey]]),(DiscreteStatsTable[GroupByKey]=DiscreteStatsTable[[#This Row],[GroupByKey]])*DiscreteStatsTable[Maximum]))</f>
        <v>511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642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86</v>
      </c>
      <c r="F10" t="s">
        <v>82</v>
      </c>
      <c r="G10">
        <v>0</v>
      </c>
      <c r="H10">
        <v>0</v>
      </c>
      <c r="I10">
        <v>0</v>
      </c>
      <c r="J10">
        <v>0</v>
      </c>
      <c r="K10">
        <v>642</v>
      </c>
      <c r="L10" t="str">
        <f>DiscreteStatsTable[[#This Row],[ProjectName]]&amp;DiscreteStatsTable[[#This Row],[Name]]&amp;DiscreteStatsTable[[#This Row],[Type]]&amp;DiscreteStatsTable[[#This Row],[Source]]</f>
        <v>Unnamed ProjectproductVA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642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80</v>
      </c>
      <c r="E11" t="s">
        <v>87</v>
      </c>
      <c r="F11" t="s">
        <v>82</v>
      </c>
      <c r="G11">
        <v>54.956229416096399</v>
      </c>
      <c r="H11">
        <v>3E+20</v>
      </c>
      <c r="I11">
        <v>0</v>
      </c>
      <c r="J11">
        <v>153.445695999912</v>
      </c>
      <c r="K11">
        <v>642</v>
      </c>
      <c r="L11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54.956229416096399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54.956229416096399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54.956229416096399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153.445695999912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642</v>
      </c>
      <c r="W11">
        <f>IF((DiscreteStatsTable[[#This Row],[RepsRequested]]&gt;1),DiscreteStatsTable[[#This Row],[HalfWidth]],DiscreteStatsTable[[#This Row],[BatchMeansHalfWidth]])</f>
        <v>3E+20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76</v>
      </c>
      <c r="E12" t="s">
        <v>71</v>
      </c>
      <c r="F12" t="s">
        <v>72</v>
      </c>
      <c r="G12">
        <v>1.88416518836411</v>
      </c>
      <c r="H12">
        <v>0.57352438445422305</v>
      </c>
      <c r="I12">
        <v>0</v>
      </c>
      <c r="J12">
        <v>37.349923346584497</v>
      </c>
      <c r="K12">
        <v>673</v>
      </c>
      <c r="L12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1.88416518836411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1.88416518836411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1.88416518836411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37.349923346584497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673</v>
      </c>
      <c r="W12">
        <f>IF((DiscreteStatsTable[[#This Row],[RepsRequested]]&gt;1),DiscreteStatsTable[[#This Row],[HalfWidth]],DiscreteStatsTable[[#This Row],[BatchMeansHalfWidth]])</f>
        <v>0.57352438445422305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77</v>
      </c>
      <c r="E13" t="s">
        <v>71</v>
      </c>
      <c r="F13" t="s">
        <v>72</v>
      </c>
      <c r="G13">
        <v>10.2690362779324</v>
      </c>
      <c r="H13">
        <v>3E+20</v>
      </c>
      <c r="I13">
        <v>0</v>
      </c>
      <c r="J13">
        <v>81.938948616359994</v>
      </c>
      <c r="K13">
        <v>661</v>
      </c>
      <c r="L13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10.2690362779324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10.2690362779324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10.2690362779324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81.938948616359994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661</v>
      </c>
      <c r="W13">
        <f>IF((DiscreteStatsTable[[#This Row],[RepsRequested]]&gt;1),DiscreteStatsTable[[#This Row],[HalfWidth]],DiscreteStatsTable[[#This Row],[BatchMeansHalfWidth]])</f>
        <v>3E+20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78</v>
      </c>
      <c r="E14" t="s">
        <v>71</v>
      </c>
      <c r="F14" t="s">
        <v>72</v>
      </c>
      <c r="G14">
        <v>12.7978868986572</v>
      </c>
      <c r="H14">
        <v>1.00814825334567</v>
      </c>
      <c r="I14">
        <v>0</v>
      </c>
      <c r="J14">
        <v>102.655277275776</v>
      </c>
      <c r="K14">
        <v>645</v>
      </c>
      <c r="L14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12.7978868986572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12.7978868986572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12.7978868986572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102.655277275776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645</v>
      </c>
      <c r="W14">
        <f>IF((DiscreteStatsTable[[#This Row],[RepsRequested]]&gt;1),DiscreteStatsTable[[#This Row],[HalfWidth]],DiscreteStatsTable[[#This Row],[BatchMeansHalfWidth]])</f>
        <v>1.00814825334567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79</v>
      </c>
      <c r="E15" t="s">
        <v>71</v>
      </c>
      <c r="F15" t="s">
        <v>72</v>
      </c>
      <c r="G15">
        <v>7.8140006957494403</v>
      </c>
      <c r="H15">
        <v>3E+20</v>
      </c>
      <c r="I15">
        <v>0</v>
      </c>
      <c r="J15">
        <v>88.432193741954507</v>
      </c>
      <c r="K15">
        <v>643</v>
      </c>
      <c r="L15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7.8140006957494403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7.8140006957494403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7.8140006957494403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88.432193741954507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643</v>
      </c>
      <c r="W15">
        <f>IF((DiscreteStatsTable[[#This Row],[RepsRequested]]&gt;1),DiscreteStatsTable[[#This Row],[HalfWidth]],DiscreteStatsTable[[#This Row],[BatchMeansHalfWidth]])</f>
        <v>3E+20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0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7.2683403903407204E-2</v>
      </c>
      <c r="H2">
        <v>2.6183179241101199E-2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ws1.QueueNumber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7.2683403903407204E-2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7.2683403903407204E-2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7.2683403903407204E-2</v>
      </c>
      <c r="U2">
        <f>IF((ContinuousStatsTable[[#This Row],[RepsRequested]]&gt;1),ContinuousStatsTable[[#This Row],[HalfWidth]],ContinuousStatsTable[[#This Row],[BatchMeansHalfWidth]])</f>
        <v>2.6183179241101199E-2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0.177945378604947</v>
      </c>
      <c r="H3">
        <v>3E+20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ws2.QueueNumber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0.177945378604947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0.177945378604947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0.177945378604947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3.1606829157574699E-2</v>
      </c>
      <c r="H4">
        <v>9.9719831504079797E-3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ws3.QueueNumber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3.1606829157574699E-2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3.1606829157574699E-2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3.1606829157574699E-2</v>
      </c>
      <c r="U4">
        <f>IF((ContinuousStatsTable[[#This Row],[RepsRequested]]&gt;1),ContinuousStatsTable[[#This Row],[HalfWidth]],ContinuousStatsTable[[#This Row],[BatchMeansHalfWidth]])</f>
        <v>9.9719831504079797E-3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0.87134436544290295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0.87134436544290295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0.87134436544290295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0.87134436544290295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0.128655634557096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0.128655634557096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0.128655634557096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0.128655634557096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0.67933461535152095</v>
      </c>
      <c r="H7">
        <v>3E+20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0.67933461535152095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0.67933461535152095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0.67933461535152095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35">
      <c r="A8" t="s">
        <v>66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0.82612008710215801</v>
      </c>
      <c r="H8">
        <v>3E+20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0.82612008710215801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0.82612008710215801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0.82612008710215801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0.50271177100753694</v>
      </c>
      <c r="H9">
        <v>3E+20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0.50271177100753694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0.50271177100753694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0.50271177100753694</v>
      </c>
      <c r="U9">
        <f>IF((ContinuousStatsTable[[#This Row],[RepsRequested]]&gt;1),ContinuousStatsTable[[#This Row],[HalfWidth]],ContinuousStatsTable[[#This Row],[BatchMeansHalfWidth]])</f>
        <v>3E+20</v>
      </c>
    </row>
    <row r="10" spans="1:21" x14ac:dyDescent="0.35">
      <c r="A10" t="s">
        <v>66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24.407600350403499</v>
      </c>
      <c r="H10">
        <v>3E+20</v>
      </c>
      <c r="I10">
        <v>0</v>
      </c>
      <c r="J10">
        <v>40</v>
      </c>
      <c r="K10">
        <v>32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24.407600350403499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24.407600350403499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24.407600350403499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91</v>
      </c>
      <c r="F11" t="s">
        <v>92</v>
      </c>
      <c r="G11">
        <v>0.87134436544290295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0.87134436544290295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0.87134436544290295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0.87134436544290295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90</v>
      </c>
      <c r="E12" t="s">
        <v>93</v>
      </c>
      <c r="F12" t="s">
        <v>92</v>
      </c>
      <c r="G12">
        <v>0.87134436544290295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0.87134436544290295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0.87134436544290295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0.87134436544290295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90</v>
      </c>
      <c r="E13" t="s">
        <v>94</v>
      </c>
      <c r="F13" t="s">
        <v>92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95</v>
      </c>
      <c r="E14" t="s">
        <v>91</v>
      </c>
      <c r="F14" t="s">
        <v>92</v>
      </c>
      <c r="G14">
        <v>0.78220386452352797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0.78220386452352797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0.78220386452352797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0.78220386452352797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95</v>
      </c>
      <c r="E15" t="s">
        <v>93</v>
      </c>
      <c r="F15" t="s">
        <v>92</v>
      </c>
      <c r="G15">
        <v>0.78220386452352797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0.78220386452352797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0.78220386452352797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0.78220386452352797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95</v>
      </c>
      <c r="E16" t="s">
        <v>94</v>
      </c>
      <c r="F16" t="s">
        <v>92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91</v>
      </c>
      <c r="F17" t="s">
        <v>92</v>
      </c>
      <c r="G17">
        <v>0.80404919184238099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0.80404919184238099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0.80404919184238099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0.80404919184238099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96</v>
      </c>
      <c r="E18" t="s">
        <v>93</v>
      </c>
      <c r="F18" t="s">
        <v>92</v>
      </c>
      <c r="G18">
        <v>0.80404919184238099</v>
      </c>
      <c r="H18">
        <v>2E+20</v>
      </c>
      <c r="I18">
        <v>0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0.80404919184238099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0.80404919184238099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0.80404919184238099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69</v>
      </c>
      <c r="C19">
        <v>1</v>
      </c>
      <c r="D19" t="s">
        <v>96</v>
      </c>
      <c r="E19" t="s">
        <v>94</v>
      </c>
      <c r="F19" t="s">
        <v>92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69</v>
      </c>
      <c r="C20">
        <v>1</v>
      </c>
      <c r="D20" t="s">
        <v>97</v>
      </c>
      <c r="E20" t="s">
        <v>91</v>
      </c>
      <c r="F20" t="s">
        <v>92</v>
      </c>
      <c r="G20">
        <v>0.81222718973851304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0.81222718973851304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0.81222718973851304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0.81222718973851304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69</v>
      </c>
      <c r="C21">
        <v>1</v>
      </c>
      <c r="D21" t="s">
        <v>97</v>
      </c>
      <c r="E21" t="s">
        <v>93</v>
      </c>
      <c r="F21" t="s">
        <v>92</v>
      </c>
      <c r="G21">
        <v>0.81222718973851304</v>
      </c>
      <c r="H21">
        <v>2E+20</v>
      </c>
      <c r="I21">
        <v>0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0.81222718973851304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0.81222718973851304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0.81222718973851304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69</v>
      </c>
      <c r="C22">
        <v>1</v>
      </c>
      <c r="D22" t="s">
        <v>97</v>
      </c>
      <c r="E22" t="s">
        <v>94</v>
      </c>
      <c r="F22" t="s">
        <v>92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100</v>
      </c>
      <c r="G2">
        <v>642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642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642</v>
      </c>
      <c r="P2" cm="1">
        <f t="array" ref="P2">MAX(IF((OutputTable[GroupByKey]=OutputTable[[#This Row],[GroupByKey]]),(OutputTable[GroupByKey]=OutputTable[[#This Row],[GroupByKey]])*OutputTable[RecordedValue]))</f>
        <v>642</v>
      </c>
    </row>
    <row r="3" spans="1:16" x14ac:dyDescent="0.35">
      <c r="A3" t="s">
        <v>66</v>
      </c>
      <c r="B3" t="s">
        <v>69</v>
      </c>
      <c r="C3">
        <v>1</v>
      </c>
      <c r="D3" t="s">
        <v>101</v>
      </c>
      <c r="E3" t="s">
        <v>102</v>
      </c>
      <c r="F3" t="s">
        <v>82</v>
      </c>
      <c r="G3">
        <v>674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674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674</v>
      </c>
      <c r="P3" cm="1">
        <f t="array" ref="P3">MAX(IF((OutputTable[GroupByKey]=OutputTable[[#This Row],[GroupByKey]]),(OutputTable[GroupByKey]=OutputTable[[#This Row],[GroupByKey]])*OutputTable[RecordedValue]))</f>
        <v>674</v>
      </c>
    </row>
    <row r="4" spans="1:16" x14ac:dyDescent="0.35">
      <c r="A4" t="s">
        <v>66</v>
      </c>
      <c r="B4" t="s">
        <v>69</v>
      </c>
      <c r="C4">
        <v>1</v>
      </c>
      <c r="D4" t="s">
        <v>103</v>
      </c>
      <c r="E4" t="s">
        <v>99</v>
      </c>
      <c r="F4" t="s">
        <v>82</v>
      </c>
      <c r="G4">
        <v>642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642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642</v>
      </c>
      <c r="P4" cm="1">
        <f t="array" ref="P4">MAX(IF((OutputTable[GroupByKey]=OutputTable[[#This Row],[GroupByKey]]),(OutputTable[GroupByKey]=OutputTable[[#This Row],[GroupByKey]])*OutputTable[RecordedValue]))</f>
        <v>642</v>
      </c>
    </row>
    <row r="5" spans="1:16" x14ac:dyDescent="0.35">
      <c r="A5" t="s">
        <v>66</v>
      </c>
      <c r="B5" t="s">
        <v>69</v>
      </c>
      <c r="C5">
        <v>1</v>
      </c>
      <c r="D5" t="s">
        <v>104</v>
      </c>
      <c r="E5" t="s">
        <v>105</v>
      </c>
      <c r="F5" t="s">
        <v>92</v>
      </c>
      <c r="G5">
        <v>673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673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673</v>
      </c>
      <c r="P5" cm="1">
        <f t="array" ref="P5">MAX(IF((OutputTable[GroupByKey]=OutputTable[[#This Row],[GroupByKey]]),(OutputTable[GroupByKey]=OutputTable[[#This Row],[GroupByKey]])*OutputTable[RecordedValue]))</f>
        <v>673</v>
      </c>
    </row>
    <row r="6" spans="1:16" x14ac:dyDescent="0.35">
      <c r="A6" t="s">
        <v>66</v>
      </c>
      <c r="B6" t="s">
        <v>69</v>
      </c>
      <c r="C6">
        <v>1</v>
      </c>
      <c r="D6" t="s">
        <v>106</v>
      </c>
      <c r="E6" t="s">
        <v>107</v>
      </c>
      <c r="F6" t="s">
        <v>92</v>
      </c>
      <c r="G6">
        <v>0.87134436544290295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0.87134436544290295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0.87134436544290295</v>
      </c>
      <c r="P6" cm="1">
        <f t="array" ref="P6">MAX(IF((OutputTable[GroupByKey]=OutputTable[[#This Row],[GroupByKey]]),(OutputTable[GroupByKey]=OutputTable[[#This Row],[GroupByKey]])*OutputTable[RecordedValue]))</f>
        <v>0.87134436544290295</v>
      </c>
    </row>
    <row r="7" spans="1:16" x14ac:dyDescent="0.35">
      <c r="A7" t="s">
        <v>66</v>
      </c>
      <c r="B7" t="s">
        <v>69</v>
      </c>
      <c r="C7">
        <v>1</v>
      </c>
      <c r="D7" t="s">
        <v>108</v>
      </c>
      <c r="E7" t="s">
        <v>105</v>
      </c>
      <c r="F7" t="s">
        <v>92</v>
      </c>
      <c r="G7">
        <v>661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661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661</v>
      </c>
      <c r="P7" cm="1">
        <f t="array" ref="P7">MAX(IF((OutputTable[GroupByKey]=OutputTable[[#This Row],[GroupByKey]]),(OutputTable[GroupByKey]=OutputTable[[#This Row],[GroupByKey]])*OutputTable[RecordedValue]))</f>
        <v>661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107</v>
      </c>
      <c r="F8" t="s">
        <v>92</v>
      </c>
      <c r="G8">
        <v>0.78220386452352797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0.78220386452352797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0.78220386452352797</v>
      </c>
      <c r="P8" cm="1">
        <f t="array" ref="P8">MAX(IF((OutputTable[GroupByKey]=OutputTable[[#This Row],[GroupByKey]]),(OutputTable[GroupByKey]=OutputTable[[#This Row],[GroupByKey]])*OutputTable[RecordedValue]))</f>
        <v>0.78220386452352797</v>
      </c>
    </row>
    <row r="9" spans="1:16" x14ac:dyDescent="0.35">
      <c r="A9" t="s">
        <v>66</v>
      </c>
      <c r="B9" t="s">
        <v>69</v>
      </c>
      <c r="C9">
        <v>1</v>
      </c>
      <c r="D9" t="s">
        <v>110</v>
      </c>
      <c r="E9" t="s">
        <v>105</v>
      </c>
      <c r="F9" t="s">
        <v>92</v>
      </c>
      <c r="G9">
        <v>645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645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645</v>
      </c>
      <c r="P9" cm="1">
        <f t="array" ref="P9">MAX(IF((OutputTable[GroupByKey]=OutputTable[[#This Row],[GroupByKey]]),(OutputTable[GroupByKey]=OutputTable[[#This Row],[GroupByKey]])*OutputTable[RecordedValue]))</f>
        <v>645</v>
      </c>
    </row>
    <row r="10" spans="1:16" x14ac:dyDescent="0.35">
      <c r="A10" t="s">
        <v>66</v>
      </c>
      <c r="B10" t="s">
        <v>69</v>
      </c>
      <c r="C10">
        <v>1</v>
      </c>
      <c r="D10" t="s">
        <v>111</v>
      </c>
      <c r="E10" t="s">
        <v>107</v>
      </c>
      <c r="F10" t="s">
        <v>92</v>
      </c>
      <c r="G10">
        <v>0.80404919184238099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0.80404919184238099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0.80404919184238099</v>
      </c>
      <c r="P10" cm="1">
        <f t="array" ref="P10">MAX(IF((OutputTable[GroupByKey]=OutputTable[[#This Row],[GroupByKey]]),(OutputTable[GroupByKey]=OutputTable[[#This Row],[GroupByKey]])*OutputTable[RecordedValue]))</f>
        <v>0.80404919184238099</v>
      </c>
    </row>
    <row r="11" spans="1:16" x14ac:dyDescent="0.35">
      <c r="A11" t="s">
        <v>66</v>
      </c>
      <c r="B11" t="s">
        <v>69</v>
      </c>
      <c r="C11">
        <v>1</v>
      </c>
      <c r="D11" t="s">
        <v>112</v>
      </c>
      <c r="E11" t="s">
        <v>105</v>
      </c>
      <c r="F11" t="s">
        <v>92</v>
      </c>
      <c r="G11">
        <v>643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643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643</v>
      </c>
      <c r="P11" cm="1">
        <f t="array" ref="P11">MAX(IF((OutputTable[GroupByKey]=OutputTable[[#This Row],[GroupByKey]]),(OutputTable[GroupByKey]=OutputTable[[#This Row],[GroupByKey]])*OutputTable[RecordedValue]))</f>
        <v>643</v>
      </c>
    </row>
    <row r="12" spans="1:16" x14ac:dyDescent="0.35">
      <c r="A12" t="s">
        <v>66</v>
      </c>
      <c r="B12" t="s">
        <v>69</v>
      </c>
      <c r="C12">
        <v>1</v>
      </c>
      <c r="D12" t="s">
        <v>113</v>
      </c>
      <c r="E12" t="s">
        <v>107</v>
      </c>
      <c r="F12" t="s">
        <v>92</v>
      </c>
      <c r="G12">
        <v>0.81222718973851304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0.81222718973851304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0.81222718973851304</v>
      </c>
      <c r="P12" cm="1">
        <f t="array" ref="P12">MAX(IF((OutputTable[GroupByKey]=OutputTable[[#This Row],[GroupByKey]]),(OutputTable[GroupByKey]=OutputTable[[#This Row],[GroupByKey]])*OutputTable[RecordedValue]))</f>
        <v>0.81222718973851304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2026-07-23T18:57:31Z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