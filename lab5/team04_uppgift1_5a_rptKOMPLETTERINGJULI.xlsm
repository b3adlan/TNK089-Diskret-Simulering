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bashe\Downloads\ÅK3\TNK089 Diskret Simulering\Laborationer\"/>
    </mc:Choice>
  </mc:AlternateContent>
  <xr:revisionPtr revIDLastSave="0" documentId="8_{25E9ACA5-9D86-42AD-8453-3A2801F58B65}" xr6:coauthVersionLast="47" xr6:coauthVersionMax="47" xr10:uidLastSave="{00000000-0000-0000-0000-000000000000}"/>
  <bookViews>
    <workbookView xWindow="-110" yWindow="-110" windowWidth="19420" windowHeight="103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ContinuousTimeStatsByRep!$A$1:$L$22</definedName>
    <definedName name="ExternalData_1" localSheetId="4" hidden="1">CounterStatsByRep!$A$1:$G$2</definedName>
    <definedName name="ExternalData_1" localSheetId="2" hidden="1">DiscreteTimeStatsByRep!$A$1:$K$15</definedName>
    <definedName name="ExternalData_1" localSheetId="6" hidden="1">FrequencyStatsByRep!$A$1:$K$2</definedName>
    <definedName name="ExternalData_1" localSheetId="5" hidden="1">OutputStatsByRep!$A$1:$H$12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81" r:id="rId8"/>
    <pivotCache cacheId="88" r:id="rId9"/>
    <pivotCache cacheId="95" r:id="rId10"/>
    <pivotCache cacheId="102" r:id="rId11"/>
    <pivotCache cacheId="109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J2" i="20" a="1"/>
  <c r="J3" i="20" a="1"/>
  <c r="J4" i="20" a="1"/>
  <c r="J5" i="20" a="1"/>
  <c r="J6" i="20" a="1"/>
  <c r="J7" i="20" a="1"/>
  <c r="J8" i="20" a="1"/>
  <c r="J9" i="20" a="1"/>
  <c r="J10" i="20" a="1"/>
  <c r="J11" i="20" a="1"/>
  <c r="J12" i="20" a="1"/>
  <c r="K2" i="20" a="1"/>
  <c r="K3" i="20" a="1"/>
  <c r="K4" i="20" a="1"/>
  <c r="K5" i="20" a="1"/>
  <c r="K6" i="20" a="1"/>
  <c r="K7" i="20" a="1"/>
  <c r="K8" i="20" a="1"/>
  <c r="K9" i="20" a="1"/>
  <c r="K10" i="20" a="1"/>
  <c r="K11" i="20" a="1"/>
  <c r="K12" i="20" a="1"/>
  <c r="L2" i="20" a="1"/>
  <c r="L3" i="20" a="1"/>
  <c r="L4" i="20" a="1"/>
  <c r="L5" i="20" a="1"/>
  <c r="L6" i="20" a="1"/>
  <c r="L7" i="20" a="1"/>
  <c r="L8" i="20" a="1"/>
  <c r="L9" i="20" a="1"/>
  <c r="N9" i="20" s="1"/>
  <c r="L10" i="20" a="1"/>
  <c r="N10" i="20" s="1"/>
  <c r="L11" i="20" a="1"/>
  <c r="N11" i="20" s="1"/>
  <c r="L12" i="20" a="1"/>
  <c r="N12" i="20" s="1"/>
  <c r="M2" i="20" a="1"/>
  <c r="M3" i="20" a="1"/>
  <c r="M4" i="20" a="1"/>
  <c r="M5" i="20" a="1"/>
  <c r="M6" i="20" a="1"/>
  <c r="M7" i="20" a="1"/>
  <c r="M8" i="20" a="1"/>
  <c r="M9" i="20" a="1"/>
  <c r="M10" i="20" a="1"/>
  <c r="M11" i="20" a="1"/>
  <c r="M12" i="20" a="1"/>
  <c r="N2" i="20"/>
  <c r="N3" i="20"/>
  <c r="N4" i="20"/>
  <c r="N5" i="20"/>
  <c r="N6" i="20"/>
  <c r="N7" i="20"/>
  <c r="N8" i="20"/>
  <c r="O2" i="20" a="1"/>
  <c r="O3" i="20" a="1"/>
  <c r="O4" i="20" a="1"/>
  <c r="O5" i="20" a="1"/>
  <c r="O6" i="20" a="1"/>
  <c r="O7" i="20" a="1"/>
  <c r="O8" i="20" a="1"/>
  <c r="O9" i="20" a="1"/>
  <c r="O10" i="20" a="1"/>
  <c r="O11" i="20" a="1"/>
  <c r="O12" i="20" a="1"/>
  <c r="P2" i="20" a="1"/>
  <c r="M2" i="18"/>
  <c r="M3" i="18"/>
  <c r="P4" i="18" s="1" a="1"/>
  <c r="R4" i="18" s="1"/>
  <c r="M4" i="18"/>
  <c r="M5" i="18"/>
  <c r="T5" i="18" s="1" a="1"/>
  <c r="M6" i="18"/>
  <c r="T6" i="18" s="1" a="1"/>
  <c r="M7" i="18"/>
  <c r="M8" i="18"/>
  <c r="M9" i="18"/>
  <c r="M10" i="18"/>
  <c r="M11" i="18"/>
  <c r="M12" i="18"/>
  <c r="M13" i="18"/>
  <c r="M14" i="18"/>
  <c r="T7" i="18" s="1" a="1"/>
  <c r="M15" i="18"/>
  <c r="M16" i="18"/>
  <c r="M17" i="18"/>
  <c r="M18" i="18"/>
  <c r="M19" i="18"/>
  <c r="M20" i="18"/>
  <c r="M21" i="18"/>
  <c r="M22" i="18"/>
  <c r="N2" i="18" a="1"/>
  <c r="N3" i="18" a="1"/>
  <c r="U3" i="18" s="1"/>
  <c r="N4" i="18" a="1"/>
  <c r="U4" i="18" s="1"/>
  <c r="N5" i="18" a="1"/>
  <c r="U5" i="18" s="1"/>
  <c r="N6" i="18" a="1"/>
  <c r="U6" i="18" s="1"/>
  <c r="N7" i="18" a="1"/>
  <c r="U7" i="18" s="1"/>
  <c r="N8" i="18" a="1"/>
  <c r="U8" i="18" s="1"/>
  <c r="N9" i="18" a="1"/>
  <c r="U9" i="18" s="1"/>
  <c r="N10" i="18" a="1"/>
  <c r="U10" i="18" s="1"/>
  <c r="N11" i="18" a="1"/>
  <c r="U11" i="18" s="1"/>
  <c r="N12" i="18" a="1"/>
  <c r="U12" i="18" s="1"/>
  <c r="N13" i="18" a="1"/>
  <c r="U13" i="18" s="1"/>
  <c r="N14" i="18" a="1"/>
  <c r="U14" i="18" s="1"/>
  <c r="N15" i="18" a="1"/>
  <c r="U15" i="18" s="1"/>
  <c r="N16" i="18" a="1"/>
  <c r="U16" i="18" s="1"/>
  <c r="N17" i="18" a="1"/>
  <c r="U17" i="18" s="1"/>
  <c r="N18" i="18" a="1"/>
  <c r="U18" i="18" s="1"/>
  <c r="N19" i="18" a="1"/>
  <c r="U19" i="18" s="1"/>
  <c r="N20" i="18" a="1"/>
  <c r="U20" i="18" s="1"/>
  <c r="N21" i="18" a="1"/>
  <c r="U21" i="18" s="1"/>
  <c r="N22" i="18" a="1"/>
  <c r="U22" i="18" s="1"/>
  <c r="O2" i="18" a="1"/>
  <c r="O3" i="18" a="1"/>
  <c r="O4" i="18" a="1"/>
  <c r="O5" i="18" a="1"/>
  <c r="O6" i="18" a="1"/>
  <c r="O7" i="18" a="1"/>
  <c r="O8" i="18" a="1"/>
  <c r="O9" i="18" a="1"/>
  <c r="O10" i="18" a="1"/>
  <c r="O11" i="18" a="1"/>
  <c r="O12" i="18" a="1"/>
  <c r="O13" i="18" a="1"/>
  <c r="O14" i="18" a="1"/>
  <c r="O15" i="18" a="1"/>
  <c r="O16" i="18" a="1"/>
  <c r="O17" i="18" a="1"/>
  <c r="O18" i="18" a="1"/>
  <c r="O19" i="18" a="1"/>
  <c r="O20" i="18" a="1"/>
  <c r="O21" i="18" a="1"/>
  <c r="O22" i="18" a="1"/>
  <c r="P2" i="18" a="1"/>
  <c r="P5" i="18" a="1"/>
  <c r="P6" i="18" a="1"/>
  <c r="P7" i="18" a="1"/>
  <c r="P8" i="18" a="1"/>
  <c r="P9" i="18" a="1"/>
  <c r="P10" i="18" a="1"/>
  <c r="P11" i="18" a="1"/>
  <c r="P12" i="18" a="1"/>
  <c r="P13" i="18" a="1"/>
  <c r="P14" i="18" a="1"/>
  <c r="P15" i="18" a="1"/>
  <c r="P16" i="18" a="1"/>
  <c r="P17" i="18" a="1"/>
  <c r="P18" i="18" a="1"/>
  <c r="P19" i="18" a="1"/>
  <c r="R19" i="18" s="1"/>
  <c r="P20" i="18" a="1"/>
  <c r="R20" i="18" s="1"/>
  <c r="P21" i="18" a="1"/>
  <c r="R21" i="18" s="1"/>
  <c r="P22" i="18" a="1"/>
  <c r="R22" i="18" s="1"/>
  <c r="Q2" i="18" a="1"/>
  <c r="Q3" i="18" a="1"/>
  <c r="Q4" i="18" a="1"/>
  <c r="Q5" i="18" a="1"/>
  <c r="Q6" i="18" a="1"/>
  <c r="Q7" i="18" a="1"/>
  <c r="Q8" i="18" a="1"/>
  <c r="Q9" i="18" a="1"/>
  <c r="Q10" i="18" a="1"/>
  <c r="Q11" i="18" a="1"/>
  <c r="Q12" i="18" a="1"/>
  <c r="Q13" i="18" a="1"/>
  <c r="Q14" i="18" a="1"/>
  <c r="Q15" i="18" a="1"/>
  <c r="Q16" i="18" a="1"/>
  <c r="Q17" i="18" a="1"/>
  <c r="Q18" i="18" a="1"/>
  <c r="Q19" i="18" a="1"/>
  <c r="Q20" i="18" a="1"/>
  <c r="Q21" i="18" a="1"/>
  <c r="Q22" i="18" a="1"/>
  <c r="S2" i="18" a="1"/>
  <c r="S3" i="18" a="1"/>
  <c r="S4" i="18" a="1"/>
  <c r="S5" i="18" a="1"/>
  <c r="S6" i="18" a="1"/>
  <c r="S7" i="18" a="1"/>
  <c r="S8" i="18" a="1"/>
  <c r="S9" i="18" a="1"/>
  <c r="S10" i="18" a="1"/>
  <c r="S11" i="18" a="1"/>
  <c r="S12" i="18" a="1"/>
  <c r="S13" i="18" a="1"/>
  <c r="S14" i="18" a="1"/>
  <c r="S15" i="18" a="1"/>
  <c r="S16" i="18" a="1"/>
  <c r="S17" i="18" a="1"/>
  <c r="S18" i="18" a="1"/>
  <c r="S19" i="18" a="1"/>
  <c r="S20" i="18" a="1"/>
  <c r="S21" i="18" a="1"/>
  <c r="S22" i="18" a="1"/>
  <c r="T2" i="18" a="1"/>
  <c r="T3" i="18" a="1"/>
  <c r="T8" i="18" a="1"/>
  <c r="T9" i="18" a="1"/>
  <c r="T10" i="18" a="1"/>
  <c r="T11" i="18" a="1"/>
  <c r="T12" i="18" a="1"/>
  <c r="T13" i="18" a="1"/>
  <c r="T14" i="18" a="1"/>
  <c r="T15" i="18" a="1"/>
  <c r="T16" i="18" a="1"/>
  <c r="T17" i="18" a="1"/>
  <c r="T18" i="18" a="1"/>
  <c r="T19" i="18" a="1"/>
  <c r="T20" i="18" a="1"/>
  <c r="T21" i="18" a="1"/>
  <c r="T22" i="18" a="1"/>
  <c r="U2" i="18"/>
  <c r="L2" i="17"/>
  <c r="L3" i="17"/>
  <c r="L4" i="17"/>
  <c r="L5" i="17"/>
  <c r="L12" i="17"/>
  <c r="L13" i="17"/>
  <c r="L14" i="17"/>
  <c r="V14" i="17" s="1" a="1"/>
  <c r="L15" i="17"/>
  <c r="V15" i="17" s="1" a="1"/>
  <c r="L6" i="17"/>
  <c r="V6" i="17" s="1" a="1"/>
  <c r="L7" i="17"/>
  <c r="L8" i="17"/>
  <c r="V8" i="17" s="1" a="1"/>
  <c r="L9" i="17"/>
  <c r="L10" i="17"/>
  <c r="V10" i="17" s="1" a="1"/>
  <c r="L11" i="17"/>
  <c r="V11" i="17" s="1" a="1"/>
  <c r="M2" i="17" a="1"/>
  <c r="W2" i="17" s="1"/>
  <c r="M3" i="17" a="1"/>
  <c r="W3" i="17" s="1"/>
  <c r="M4" i="17" a="1"/>
  <c r="W4" i="17" s="1"/>
  <c r="M5" i="17" a="1"/>
  <c r="W5" i="17" s="1"/>
  <c r="M12" i="17" a="1"/>
  <c r="W12" i="17" s="1"/>
  <c r="M13" i="17" a="1"/>
  <c r="W13" i="17" s="1"/>
  <c r="M14" i="17" a="1"/>
  <c r="W14" i="17" s="1"/>
  <c r="M15" i="17" a="1"/>
  <c r="W15" i="17" s="1"/>
  <c r="M6" i="17" a="1"/>
  <c r="W6" i="17" s="1"/>
  <c r="M7" i="17" a="1"/>
  <c r="W7" i="17" s="1"/>
  <c r="M8" i="17" a="1"/>
  <c r="W8" i="17" s="1"/>
  <c r="M9" i="17" a="1"/>
  <c r="W9" i="17" s="1"/>
  <c r="M10" i="17" a="1"/>
  <c r="W10" i="17" s="1"/>
  <c r="M11" i="17" a="1"/>
  <c r="W11" i="17" s="1"/>
  <c r="N2" i="17" a="1"/>
  <c r="N3" i="17" a="1"/>
  <c r="N4" i="17" a="1"/>
  <c r="N5" i="17" a="1"/>
  <c r="N12" i="17" a="1"/>
  <c r="N13" i="17" a="1"/>
  <c r="N14" i="17" a="1"/>
  <c r="N15" i="17" a="1"/>
  <c r="N6" i="17" a="1"/>
  <c r="N7" i="17" a="1"/>
  <c r="N8" i="17" a="1"/>
  <c r="N9" i="17" a="1"/>
  <c r="N10" i="17" a="1"/>
  <c r="N11" i="17" a="1"/>
  <c r="O2" i="17" a="1"/>
  <c r="O3" i="17" a="1"/>
  <c r="O4" i="17" a="1"/>
  <c r="O5" i="17" a="1"/>
  <c r="O12" i="17" a="1"/>
  <c r="O13" i="17" a="1"/>
  <c r="O14" i="17" a="1"/>
  <c r="O15" i="17" a="1"/>
  <c r="O6" i="17" a="1"/>
  <c r="O7" i="17" a="1"/>
  <c r="P2" i="17" a="1"/>
  <c r="P3" i="17" a="1"/>
  <c r="P4" i="17" a="1"/>
  <c r="P5" i="17" a="1"/>
  <c r="P12" i="17" a="1"/>
  <c r="P13" i="17" a="1"/>
  <c r="P14" i="17" a="1"/>
  <c r="P15" i="17" a="1"/>
  <c r="P6" i="17" a="1"/>
  <c r="P7" i="17" a="1"/>
  <c r="P8" i="17" a="1"/>
  <c r="P9" i="17" a="1"/>
  <c r="P10" i="17" a="1"/>
  <c r="P11" i="17" a="1"/>
  <c r="R2" i="17" a="1"/>
  <c r="R3" i="17" a="1"/>
  <c r="R4" i="17" a="1"/>
  <c r="R5" i="17" a="1"/>
  <c r="R12" i="17" a="1"/>
  <c r="R13" i="17" a="1"/>
  <c r="R14" i="17" a="1"/>
  <c r="R15" i="17" a="1"/>
  <c r="R6" i="17" a="1"/>
  <c r="R7" i="17" a="1"/>
  <c r="R8" i="17" a="1"/>
  <c r="R9" i="17" a="1"/>
  <c r="R10" i="17" a="1"/>
  <c r="R11" i="17" a="1"/>
  <c r="S2" i="17" a="1"/>
  <c r="S3" i="17" a="1"/>
  <c r="S4" i="17" a="1"/>
  <c r="S5" i="17" a="1"/>
  <c r="S12" i="17" a="1"/>
  <c r="S13" i="17" a="1"/>
  <c r="S14" i="17" a="1"/>
  <c r="S15" i="17" a="1"/>
  <c r="S6" i="17" a="1"/>
  <c r="S7" i="17" a="1"/>
  <c r="S8" i="17" a="1"/>
  <c r="S9" i="17" a="1"/>
  <c r="S10" i="17" a="1"/>
  <c r="S11" i="17" a="1"/>
  <c r="T2" i="17" a="1"/>
  <c r="T3" i="17" a="1"/>
  <c r="T4" i="17" a="1"/>
  <c r="T5" i="17" a="1"/>
  <c r="T12" i="17" a="1"/>
  <c r="T13" i="17" a="1"/>
  <c r="T14" i="17" a="1"/>
  <c r="T15" i="17" a="1"/>
  <c r="T6" i="17" a="1"/>
  <c r="T7" i="17" a="1"/>
  <c r="T8" i="17" a="1"/>
  <c r="T9" i="17" a="1"/>
  <c r="T10" i="17" a="1"/>
  <c r="T11" i="17" a="1"/>
  <c r="U2" i="17" a="1"/>
  <c r="U3" i="17" a="1"/>
  <c r="U4" i="17" a="1"/>
  <c r="U5" i="17" a="1"/>
  <c r="U12" i="17" a="1"/>
  <c r="U13" i="17" a="1"/>
  <c r="U14" i="17" a="1"/>
  <c r="U15" i="17" a="1"/>
  <c r="X4" i="17" a="1"/>
  <c r="X5" i="17" a="1"/>
  <c r="X12" i="17" a="1"/>
  <c r="X13" i="17" a="1"/>
  <c r="X14" i="17" a="1"/>
  <c r="X15" i="17" a="1"/>
  <c r="X6" i="17" a="1"/>
  <c r="Y6" i="17" s="1"/>
  <c r="X7" i="17" a="1"/>
  <c r="Y7" i="17" s="1"/>
  <c r="X8" i="17" a="1"/>
  <c r="Y8" i="17" s="1"/>
  <c r="X9" i="17" a="1"/>
  <c r="Y9" i="17" s="1"/>
  <c r="X10" i="17" a="1"/>
  <c r="Y10" i="17" s="1"/>
  <c r="X11" i="17" a="1"/>
  <c r="Y11" i="17" s="1"/>
  <c r="Y4" i="17"/>
  <c r="Q4" i="17" s="1"/>
  <c r="Y5" i="17"/>
  <c r="Q5" i="17" s="1"/>
  <c r="Y12" i="17"/>
  <c r="Q12" i="17" s="1"/>
  <c r="Y13" i="17"/>
  <c r="Q13" i="17" s="1"/>
  <c r="Y14" i="17"/>
  <c r="Q14" i="17" s="1"/>
  <c r="Y15" i="17"/>
  <c r="Q15" i="17" s="1"/>
  <c r="G2" i="16"/>
  <c r="P10" i="20" l="1" a="1"/>
  <c r="P9" i="20" a="1"/>
  <c r="P8" i="20" a="1"/>
  <c r="P3" i="20" a="1"/>
  <c r="P4" i="20" a="1"/>
  <c r="P5" i="20" a="1"/>
  <c r="P6" i="20" a="1"/>
  <c r="P12" i="20" a="1"/>
  <c r="P7" i="20" a="1"/>
  <c r="P11" i="20" a="1"/>
  <c r="R13" i="18"/>
  <c r="R5" i="18"/>
  <c r="R6" i="18"/>
  <c r="R7" i="18"/>
  <c r="R9" i="18"/>
  <c r="R18" i="18"/>
  <c r="R12" i="18"/>
  <c r="R14" i="18"/>
  <c r="R10" i="18"/>
  <c r="R16" i="18"/>
  <c r="R8" i="18"/>
  <c r="R15" i="18"/>
  <c r="R2" i="18"/>
  <c r="R11" i="18"/>
  <c r="R17" i="18"/>
  <c r="P3" i="18" a="1"/>
  <c r="R3" i="18" s="1"/>
  <c r="T4" i="18" a="1"/>
  <c r="Q6" i="17"/>
  <c r="Q7" i="17"/>
  <c r="X2" i="17" a="1"/>
  <c r="Y2" i="17" s="1"/>
  <c r="Q2" i="17" s="1"/>
  <c r="O8" i="17" a="1"/>
  <c r="Q8" i="17" s="1"/>
  <c r="O9" i="17" a="1"/>
  <c r="Q9" i="17" s="1"/>
  <c r="O10" i="17" a="1"/>
  <c r="Q10" i="17" s="1"/>
  <c r="O11" i="17" a="1"/>
  <c r="Q11" i="17" s="1"/>
  <c r="U6" i="17" a="1"/>
  <c r="U7" i="17" a="1"/>
  <c r="U8" i="17" a="1"/>
  <c r="U9" i="17" a="1"/>
  <c r="V13" i="17" a="1"/>
  <c r="V7" i="17" a="1"/>
  <c r="X3" i="17" a="1"/>
  <c r="Y3" i="17" s="1"/>
  <c r="Q3" i="17" s="1"/>
  <c r="V12" i="17" a="1"/>
  <c r="V9" i="17" a="1"/>
  <c r="V5" i="17" a="1"/>
  <c r="U10" i="17" a="1"/>
  <c r="U11" i="17" a="1"/>
  <c r="V2" i="17" a="1"/>
  <c r="V3" i="17" a="1"/>
  <c r="V4" i="17" a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bashe\downloads\åk3\tnk089 diskret simulering\laborationer\team04_uppgift1_5a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<sst xmlns="http://schemas.openxmlformats.org/spreadsheetml/2006/main" count="523" uniqueCount="115">
  <si>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</si>
  <si>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</si>
  <si>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</si>
  <si>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</si>
  <si>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</si>
  <si>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</si>
  <si>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</si>
  <si>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</si>
  <si>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</si>
  <si>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</si>
  <si>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</si>
  <si>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</si>
  <si>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</si>
  <si>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</si>
  <si>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</si>
  <si>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</si>
  <si>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</si>
  <si>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</si>
  <si>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</si>
  <si>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</si>
  <si>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</si>
  <si>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</si>
  <si>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</si>
  <si>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</si>
  <si>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</si>
  <si>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</si>
  <si>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</si>
  <si>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</si>
  <si>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</si>
  <si>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</si>
  <si>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</si>
  <si>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</si>
  <si>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</si>
  <si>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</si>
  <si>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</si>
  <si>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</si>
  <si>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</si>
  <si>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</si>
  <si>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</si>
  <si>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</si>
  <si>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</si>
  <si>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</si>
  <si>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</si>
  <si>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</si>
  <si>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</si>
  <si>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</si>
  <si>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</si>
  <si>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</si>
  <si>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</si>
  <si>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</si>
  <si>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</si>
  <si>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</si>
  <si>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</si>
  <si>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</si>
  <si>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</si>
  <si>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</si>
  <si>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</si>
  <si>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</si>
  <si>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</si>
  <si>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</si>
  <si>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</si>
  <si>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</si>
  <si>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</si>
  <si>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</si>
  <si>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</si>
  <si>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</si>
  <si>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</si>
  <si>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</si>
  <si>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C:\Users\bashe\Downloads\ÅK3\TNK089 Diskret Simulering\Laborationer\team04_uppgift1_5a.p</t>
  </si>
  <si>
    <t>2026-07-23 15:48:11</t>
  </si>
  <si>
    <t>Access ws1.Queue</t>
  </si>
  <si>
    <t>Waiting Time</t>
  </si>
  <si>
    <t>Queue</t>
  </si>
  <si>
    <t>Access ws2.Queue</t>
  </si>
  <si>
    <t>Access ws3.Queue</t>
  </si>
  <si>
    <t>Hold.Queue</t>
  </si>
  <si>
    <t>Seize ws1.Queue</t>
  </si>
  <si>
    <t>Seize ws2.Queue</t>
  </si>
  <si>
    <t>Seize ws3.Queue</t>
  </si>
  <si>
    <t>Seize ws4.Queue</t>
  </si>
  <si>
    <t>product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</si>
  <si>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</si>
  <si>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</si>
  <si>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</si>
  <si>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</si>
  <si>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</si>
  <si>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</si>
  <si>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</si>
  <si>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Number Waiting</t>
  </si>
  <si>
    <t>WIP</t>
  </si>
  <si>
    <t>ws1</t>
  </si>
  <si>
    <t>Instantaneous Utilization</t>
  </si>
  <si>
    <t>Resource</t>
  </si>
  <si>
    <t>Number Busy</t>
  </si>
  <si>
    <t>Number Scheduled</t>
  </si>
  <si>
    <t>ws2</t>
  </si>
  <si>
    <t>ws3</t>
  </si>
  <si>
    <t>ws4</t>
  </si>
  <si>
    <t>System.NumberOut</t>
  </si>
  <si>
    <t>Number Out</t>
  </si>
  <si>
    <t>System</t>
  </si>
  <si>
    <t>product.NumberIn</t>
  </si>
  <si>
    <t>Number In</t>
  </si>
  <si>
    <t>product.NumberOut</t>
  </si>
  <si>
    <t>ws1.NumberSeized</t>
  </si>
  <si>
    <t>Total Number Seized</t>
  </si>
  <si>
    <t>ws1.ScheduledUtilization</t>
  </si>
  <si>
    <t>Scheduled Utilization</t>
  </si>
  <si>
    <t>ws2.NumberSeized</t>
  </si>
  <si>
    <t>ws2.ScheduledUtilization</t>
  </si>
  <si>
    <t>ws3.NumberSeized</t>
  </si>
  <si>
    <t>ws3.ScheduledUtilization</t>
  </si>
  <si>
    <t>ws4.NumberSeized</t>
  </si>
  <si>
    <t>ws4.ScheduledUtilization</t>
  </si>
  <si>
    <t>(tom)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</si>
</sst>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Normal" xfId="0" builtinId="0"/>
  </cellStyles>
  <dxfs count="71">
    <dxf>
      <numFmt numFmtId="164" formatCode="[=400000000000000000000]&quot;Null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fill>
        <patternFill>
          <bgColor theme="6"/>
        </patternFill>
      </fill>
    </dxf>
    <dxf>
      <numFmt numFmtId="165" formatCode="[=400000000000000000000]&quot;NoCalc&quot;;;"/>
    </dxf>
    <dxf>
      <numFmt numFmtId="166" formatCode="[=300000000000000000000]&quot;Correlated&quot;;;"/>
    </dxf>
    <dxf>
      <numFmt numFmtId="167" formatCode="[=200000000000000000000]&quot;Insufficient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65" formatCode="[=400000000000000000000]&quot;NoCalc&quot;;;"/>
    </dxf>
    <dxf>
      <numFmt numFmtId="167" formatCode="[=200000000000000000000]&quot;Insufficient&quot;;;"/>
    </dxf>
    <dxf>
      <numFmt numFmtId="166" formatCode="[=300000000000000000000]&quot;Correlated&quot;;;"/>
    </dxf>
    <dxf>
      <numFmt numFmtId="168" formatCode="[=1]&quot;Yes&quot;;;"/>
    </dxf>
    <dxf>
      <numFmt numFmtId="168" formatCode="[=1]&quot;Yes&quot;;;"/>
    </dxf>
    <dxf>
      <numFmt numFmtId="169" formatCode="[=0]&quot;No&quot;;;"/>
    </dxf>
    <dxf>
      <fill>
        <patternFill>
          <bgColor theme="6"/>
        </patternFill>
      </fill>
    </dxf>
    <dxf>
      <numFmt numFmtId="166" formatCode="[=300000000000000000000]&quot;Correlated&quot;;;"/>
    </dxf>
    <dxf>
      <numFmt numFmtId="167" formatCode="[=200000000000000000000]&quot;Insufficient&quot;;;"/>
    </dxf>
    <dxf>
      <numFmt numFmtId="170" formatCode="[&gt;100]&quot;Null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5" formatCode="[=400000000000000000000]&quot;NoCalc&quot;;;"/>
    </dxf>
    <dxf>
      <numFmt numFmtId="168" formatCode="[=1]&quot;Yes&quot;;;"/>
      <border>
        <left/>
        <right/>
        <top/>
        <bottom/>
      </border>
    </dxf>
    <dxf>
      <numFmt numFmtId="169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66" formatCode="[=300000000000000000000]&quot;Correlated&quot;;;"/>
    </dxf>
    <dxf>
      <numFmt numFmtId="166" formatCode="[=300000000000000000000]&quot;Correlated&quot;;;"/>
    </dxf>
    <dxf>
      <numFmt numFmtId="167" formatCode="[=200000000000000000000]&quot;Insufficient&quot;;;"/>
    </dxf>
    <dxf>
      <numFmt numFmtId="167" formatCode="[=200000000000000000000]&quot;Insufficient&quot;;;"/>
    </dxf>
    <dxf>
      <numFmt numFmtId="171" formatCode="[=0]&quot;Days&quot;;;"/>
    </dxf>
    <dxf>
      <numFmt numFmtId="172" formatCode="[=1]&quot;Hours&quot;;;"/>
    </dxf>
    <dxf>
      <numFmt numFmtId="173" formatCode="[=2]&quot;Minutes&quot;;;"/>
    </dxf>
    <dxf>
      <numFmt numFmtId="17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0462962" createdVersion="7" refreshedVersion="8" minRefreshableVersion="3" recordCount="21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37">
        <s v="Access ws1.Queue"/>
        <s v="Access ws2.Queue"/>
        <s v="Access ws3.Queue"/>
        <s v="Hold.Queue"/>
        <s v="Seize ws1.Queue"/>
        <s v="Seize ws2.Queue"/>
        <s v="Seize ws3.Queue"/>
        <s v="Seize ws4.Queue"/>
        <s v="product"/>
        <s v="ws1"/>
        <s v="ws2"/>
        <s v="ws3"/>
        <s v="ws4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Number Waiting"/>
        <s v="WIP"/>
        <s v="Instantaneous Utilization"/>
        <s v="Number Busy"/>
        <s v="Number Scheduled"/>
        <m u="1"/>
        <s v="Levels" u="1"/>
      </sharedItems>
    </cacheField>
    <cacheField name="Source" numFmtId="0">
      <sharedItems containsBlank="1" count="5">
        <s v="Queue"/>
        <s v="Entity"/>
        <s v="Resource"/>
        <m u="1"/>
        <s v="User Specified" u="1"/>
      </sharedItems>
    </cacheField>
    <cacheField name="Average" numFmtId="0">
      <sharedItems containsSemiMixedTypes="0" containsString="0" containsNumber="1" minValue="4.59350401959015E-2" maxValue="11.4698408739699"/>
    </cacheField>
    <cacheField name="BatchMeansHalfWidth" numFmtId="0">
      <sharedItems containsSemiMixedTypes="0" containsString="0" containsNumber="1" minValue="1.50421451941289E-2" maxValue="3E+20"/>
    </cacheField>
    <cacheField name="Minimum" numFmtId="0">
      <sharedItems containsSemiMixedTypes="0" containsString="0" containsNumber="1" containsInteger="1" minValue="0" maxValue="1"/>
    </cacheField>
    <cacheField name="Maximum" numFmtId="0">
      <sharedItems containsSemiMixedTypes="0" containsString="0" containsNumber="1" containsInteger="1" minValue="1" maxValue="19"/>
    </cacheField>
    <cacheField name="LastRecordedValue" numFmtId="0">
      <sharedItems containsSemiMixedTypes="0" containsString="0" containsNumber="1" containsInteger="1" minValue="0" maxValue="1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4.59350401959015E-2" maxValue="11.46984087396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4.59350401959015E-2" maxValue="11.4698408739699"/>
    </cacheField>
    <cacheField name="MaximumAverage" numFmtId="0">
      <sharedItems containsSemiMixedTypes="0" containsString="0" containsNumber="1" minValue="4.59350401959015E-2" maxValue="11.4698408739699"/>
    </cacheField>
    <cacheField name="SummaryHalfWidth" numFmtId="0">
      <sharedItems containsSemiMixedTypes="0" containsString="0" containsNumber="1" minValue="1.50421451941289E-2" maxValue="3E+2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0810185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157408" createdVersion="7" refreshedVersion="8" minRefreshableVersion="3" recordCount="14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108">
        <s v="Access ws1.Queue"/>
        <s v="Access ws2.Queue"/>
        <s v="Access ws3.Queue"/>
        <s v="Hold.Queue"/>
        <s v="product"/>
        <s v="Seize ws1.Queue"/>
        <s v="Seize ws2.Queue"/>
        <s v="Seize ws3.Queue"/>
        <s v="Seize ws4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Waiting Time"/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Queue"/>
        <s v="Entity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76.50454119382499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66.7679529246589"/>
    </cacheField>
    <cacheField name="Maximum" numFmtId="0">
      <sharedItems containsSemiMixedTypes="0" containsString="0" containsNumber="1" minValue="0" maxValue="305.16506428442699"/>
    </cacheField>
    <cacheField name="NumberObservations" numFmtId="0">
      <sharedItems containsSemiMixedTypes="0" containsString="0" containsNumber="1" containsInteger="1" minValue="644" maxValue="658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OfAverage" numFmtId="0">
      <sharedItems containsSemiMixedTypes="0" containsString="0" containsNumber="1" minValue="0" maxValue="176.50454119382499"/>
    </cacheField>
    <cacheField name="StDevOfAverage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Average" numFmtId="0">
      <sharedItems containsSemiMixedTypes="0" containsString="0" containsNumber="1" minValue="0" maxValue="176.50454119382499"/>
    </cacheField>
    <cacheField name="MaximumAverage" numFmtId="0">
      <sharedItems containsSemiMixedTypes="0" containsString="0" containsNumber="1" minValue="0" maxValue="176.50454119382499"/>
    </cacheField>
    <cacheField name="OverallMinimum" numFmtId="0">
      <sharedItems containsSemiMixedTypes="0" containsString="0" containsNumber="1" minValue="0" maxValue="66.7679529246589"/>
    </cacheField>
    <cacheField name="OverallMaximum" numFmtId="0">
      <sharedItems containsSemiMixedTypes="0" containsString="0" containsNumber="1" minValue="0" maxValue="305.16506428442699"/>
    </cacheField>
    <cacheField name="AverageNumberObservations" numFmtId="0">
      <sharedItems containsSemiMixedTypes="0" containsString="0" containsNumber="1" containsInteger="1" minValue="644" maxValue="658"/>
    </cacheField>
    <cacheField name="SummaryHalfWidth" numFmtId="0">
      <sharedItems containsSemiMixedTypes="0" containsString="0" containsNumber="1" minValue="0" maxValue="3E+20"/>
    </cacheField>
    <cacheField name="RepsWithStatObserved" numFmtId="0">
      <sharedItems containsSemiMixedTypes="0" containsString="0" containsNumber="1" containsInteger="1" minValue="1" maxValue="1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504632" createdVersion="7" refreshedVersion="8" minRefreshableVersion="3" recordCount="11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1"/>
    </cacheField>
    <cacheField name="Name" numFmtId="0">
      <sharedItems containsBlank="1" count="89">
        <s v="System.NumberOut"/>
        <s v="product.NumberIn"/>
        <s v="product.NumberOut"/>
        <s v="ws1.NumberSeized"/>
        <s v="ws1.ScheduledUtilization"/>
        <s v="ws2.NumberSeized"/>
        <s v="ws2.ScheduledUtilization"/>
        <s v="ws3.NumberSeized"/>
        <s v="ws3.ScheduledUtilization"/>
        <s v="ws4.NumberSeized"/>
        <s v="ws4.ScheduledUtilization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Out"/>
        <s v="Number In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System"/>
        <s v="Entity"/>
        <s v="Resource"/>
        <m u="1"/>
        <s v="Process" u="1"/>
      </sharedItems>
    </cacheField>
    <cacheField name="RecordedValue" numFmtId="0">
      <sharedItems containsSemiMixedTypes="0" containsString="0" containsNumber="1" minValue="0.77826134577488204" maxValue="65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1" maxValue="1"/>
    </cacheField>
    <cacheField name="Average" numFmtId="0">
      <sharedItems containsSemiMixedTypes="0" containsString="0" containsNumber="1" minValue="0.77826134577488204" maxValue="657"/>
    </cacheField>
    <cacheField name="StandardDeviation" numFmtId="0">
      <sharedItems containsSemiMixedTypes="0" containsString="0" containsNumber="1" containsInteger="1" minValue="0" maxValue="0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containsInteger="1" minValue="4E+20" maxValue="4E+20"/>
    </cacheField>
    <cacheField name="Minimum" numFmtId="0">
      <sharedItems containsSemiMixedTypes="0" containsString="0" containsNumber="1" minValue="0.77826134577488204" maxValue="657"/>
    </cacheField>
    <cacheField name="Maximum" numFmtId="0">
      <sharedItems containsSemiMixedTypes="0" containsString="0" containsNumber="1" minValue="0.77826134577488204" maxValue="6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shir Adlan" refreshedDate="46226.658701851855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">
  <r>
    <x v="0"/>
    <s v="2026-07-23 15:48:11"/>
    <n v="1"/>
    <x v="0"/>
    <x v="0"/>
    <x v="0"/>
    <n v="9.7464664342920004E-2"/>
    <n v="3E+20"/>
    <n v="0"/>
    <n v="1"/>
    <n v="0"/>
    <n v="0"/>
    <s v="Unnamed ProjectAccess ws1.QueueNumber WaitingQueue"/>
    <n v="1"/>
    <n v="9.7464664342920004E-2"/>
    <n v="0"/>
    <n v="0.95"/>
    <n v="4E+20"/>
    <n v="9.7464664342920004E-2"/>
    <n v="9.7464664342920004E-2"/>
    <n v="3E+20"/>
  </r>
  <r>
    <x v="0"/>
    <s v="2026-07-23 15:48:11"/>
    <n v="1"/>
    <x v="1"/>
    <x v="0"/>
    <x v="0"/>
    <n v="0.18728194652990901"/>
    <n v="3E+20"/>
    <n v="0"/>
    <n v="1"/>
    <n v="1"/>
    <n v="0"/>
    <s v="Unnamed ProjectAccess ws2.QueueNumber WaitingQueue"/>
    <n v="1"/>
    <n v="0.18728194652990901"/>
    <n v="0"/>
    <n v="0.95"/>
    <n v="4E+20"/>
    <n v="0.18728194652990901"/>
    <n v="0.18728194652990901"/>
    <n v="3E+20"/>
  </r>
  <r>
    <x v="0"/>
    <s v="2026-07-23 15:48:11"/>
    <n v="1"/>
    <x v="2"/>
    <x v="0"/>
    <x v="0"/>
    <n v="4.59350401959015E-2"/>
    <n v="1.50421451941289E-2"/>
    <n v="0"/>
    <n v="1"/>
    <n v="0"/>
    <n v="0"/>
    <s v="Unnamed ProjectAccess ws3.QueueNumber WaitingQueue"/>
    <n v="1"/>
    <n v="4.59350401959015E-2"/>
    <n v="0"/>
    <n v="0.95"/>
    <n v="4E+20"/>
    <n v="4.59350401959015E-2"/>
    <n v="4.59350401959015E-2"/>
    <n v="1.50421451941289E-2"/>
  </r>
  <r>
    <x v="0"/>
    <s v="2026-07-23 15:48:11"/>
    <n v="1"/>
    <x v="3"/>
    <x v="0"/>
    <x v="0"/>
    <n v="0.87594827562242195"/>
    <n v="2E+20"/>
    <n v="0"/>
    <n v="1"/>
    <n v="1"/>
    <n v="0"/>
    <s v="Unnamed ProjectHold.QueueNumber WaitingQueue"/>
    <n v="1"/>
    <n v="0.87594827562242195"/>
    <n v="0"/>
    <n v="0.95"/>
    <n v="4E+20"/>
    <n v="0.87594827562242195"/>
    <n v="0.87594827562242195"/>
    <n v="2E+20"/>
  </r>
  <r>
    <x v="0"/>
    <s v="2026-07-23 15:48:11"/>
    <n v="1"/>
    <x v="4"/>
    <x v="0"/>
    <x v="0"/>
    <n v="0.124051724377577"/>
    <n v="2E+20"/>
    <n v="0"/>
    <n v="1"/>
    <n v="0"/>
    <n v="0"/>
    <s v="Unnamed ProjectSeize ws1.QueueNumber WaitingQueue"/>
    <n v="1"/>
    <n v="0.124051724377577"/>
    <n v="0"/>
    <n v="0.95"/>
    <n v="4E+20"/>
    <n v="0.124051724377577"/>
    <n v="0.124051724377577"/>
    <n v="2E+20"/>
  </r>
  <r>
    <x v="0"/>
    <s v="2026-07-23 15:48:11"/>
    <n v="1"/>
    <x v="5"/>
    <x v="0"/>
    <x v="0"/>
    <n v="0.66930709629346596"/>
    <n v="3E+20"/>
    <n v="0"/>
    <n v="1"/>
    <n v="1"/>
    <n v="0"/>
    <s v="Unnamed ProjectSeize ws2.QueueNumber WaitingQueue"/>
    <n v="1"/>
    <n v="0.66930709629346596"/>
    <n v="0"/>
    <n v="0.95"/>
    <n v="4E+20"/>
    <n v="0.66930709629346596"/>
    <n v="0.66930709629346596"/>
    <n v="3E+20"/>
  </r>
  <r>
    <x v="0"/>
    <s v="2026-07-23 15:48:11"/>
    <n v="1"/>
    <x v="6"/>
    <x v="0"/>
    <x v="0"/>
    <n v="0.76649718504434805"/>
    <n v="3E+20"/>
    <n v="0"/>
    <n v="1"/>
    <n v="1"/>
    <n v="0"/>
    <s v="Unnamed ProjectSeize ws3.QueueNumber WaitingQueue"/>
    <n v="1"/>
    <n v="0.76649718504434805"/>
    <n v="0"/>
    <n v="0.95"/>
    <n v="4E+20"/>
    <n v="0.76649718504434805"/>
    <n v="0.76649718504434805"/>
    <n v="3E+20"/>
  </r>
  <r>
    <x v="0"/>
    <s v="2026-07-23 15:48:11"/>
    <n v="1"/>
    <x v="7"/>
    <x v="0"/>
    <x v="0"/>
    <n v="0.53714052397891998"/>
    <n v="3E+20"/>
    <n v="0"/>
    <n v="1"/>
    <n v="0"/>
    <n v="0"/>
    <s v="Unnamed ProjectSeize ws4.QueueNumber WaitingQueue"/>
    <n v="1"/>
    <n v="0.53714052397891998"/>
    <n v="0"/>
    <n v="0.95"/>
    <n v="4E+20"/>
    <n v="0.53714052397891998"/>
    <n v="0.53714052397891998"/>
    <n v="3E+20"/>
  </r>
  <r>
    <x v="0"/>
    <s v="2026-07-23 15:48:11"/>
    <n v="1"/>
    <x v="8"/>
    <x v="1"/>
    <x v="1"/>
    <n v="11.4698408739699"/>
    <n v="3E+20"/>
    <n v="0"/>
    <n v="19"/>
    <n v="13"/>
    <n v="0"/>
    <s v="Unnamed ProjectproductWIPEntity"/>
    <n v="1"/>
    <n v="11.4698408739699"/>
    <n v="0"/>
    <n v="0.95"/>
    <n v="4E+20"/>
    <n v="11.4698408739699"/>
    <n v="11.4698408739699"/>
    <n v="3E+20"/>
  </r>
  <r>
    <x v="0"/>
    <s v="2026-07-23 15:48:11"/>
    <n v="1"/>
    <x v="9"/>
    <x v="2"/>
    <x v="2"/>
    <n v="0.87594827562242195"/>
    <n v="2E+20"/>
    <n v="0"/>
    <n v="1"/>
    <n v="1"/>
    <n v="0"/>
    <s v="Unnamed Projectws1Instantaneous UtilizationResource"/>
    <n v="1"/>
    <n v="0.87594827562242195"/>
    <n v="0"/>
    <n v="0.95"/>
    <n v="4E+20"/>
    <n v="0.87594827562242195"/>
    <n v="0.87594827562242195"/>
    <n v="2E+20"/>
  </r>
  <r>
    <x v="0"/>
    <s v="2026-07-23 15:48:11"/>
    <n v="1"/>
    <x v="9"/>
    <x v="3"/>
    <x v="2"/>
    <n v="0.87594827562242195"/>
    <n v="2E+20"/>
    <n v="0"/>
    <n v="1"/>
    <n v="1"/>
    <n v="0"/>
    <s v="Unnamed Projectws1Number BusyResource"/>
    <n v="1"/>
    <n v="0.87594827562242195"/>
    <n v="0"/>
    <n v="0.95"/>
    <n v="4E+20"/>
    <n v="0.87594827562242195"/>
    <n v="0.87594827562242195"/>
    <n v="2E+20"/>
  </r>
  <r>
    <x v="0"/>
    <s v="2026-07-23 15:48:11"/>
    <n v="1"/>
    <x v="9"/>
    <x v="4"/>
    <x v="2"/>
    <n v="1"/>
    <n v="2E+20"/>
    <n v="1"/>
    <n v="1"/>
    <n v="1"/>
    <n v="0"/>
    <s v="Unnamed Projectws1Number ScheduledResource"/>
    <n v="1"/>
    <n v="1"/>
    <n v="0"/>
    <n v="0.95"/>
    <n v="4E+20"/>
    <n v="1"/>
    <n v="1"/>
    <n v="2E+20"/>
  </r>
  <r>
    <x v="0"/>
    <s v="2026-07-23 15:48:11"/>
    <n v="1"/>
    <x v="10"/>
    <x v="2"/>
    <x v="2"/>
    <n v="0.77826134577488204"/>
    <n v="2E+20"/>
    <n v="0"/>
    <n v="1"/>
    <n v="1"/>
    <n v="0"/>
    <s v="Unnamed Projectws2Instantaneous UtilizationResource"/>
    <n v="1"/>
    <n v="0.77826134577488204"/>
    <n v="0"/>
    <n v="0.95"/>
    <n v="4E+20"/>
    <n v="0.77826134577488204"/>
    <n v="0.77826134577488204"/>
    <n v="2E+20"/>
  </r>
  <r>
    <x v="0"/>
    <s v="2026-07-23 15:48:11"/>
    <n v="1"/>
    <x v="10"/>
    <x v="3"/>
    <x v="2"/>
    <n v="0.77826134577488204"/>
    <n v="2E+20"/>
    <n v="0"/>
    <n v="1"/>
    <n v="1"/>
    <n v="0"/>
    <s v="Unnamed Projectws2Number BusyResource"/>
    <n v="1"/>
    <n v="0.77826134577488204"/>
    <n v="0"/>
    <n v="0.95"/>
    <n v="4E+20"/>
    <n v="0.77826134577488204"/>
    <n v="0.77826134577488204"/>
    <n v="2E+20"/>
  </r>
  <r>
    <x v="0"/>
    <s v="2026-07-23 15:48:11"/>
    <n v="1"/>
    <x v="10"/>
    <x v="4"/>
    <x v="2"/>
    <n v="1"/>
    <n v="2E+20"/>
    <n v="1"/>
    <n v="1"/>
    <n v="1"/>
    <n v="0"/>
    <s v="Unnamed Projectws2Number ScheduledResource"/>
    <n v="1"/>
    <n v="1"/>
    <n v="0"/>
    <n v="0.95"/>
    <n v="4E+20"/>
    <n v="1"/>
    <n v="1"/>
    <n v="2E+20"/>
  </r>
  <r>
    <x v="0"/>
    <s v="2026-07-23 15:48:11"/>
    <n v="1"/>
    <x v="11"/>
    <x v="2"/>
    <x v="2"/>
    <n v="0.81634011722827604"/>
    <n v="2E+20"/>
    <n v="0"/>
    <n v="1"/>
    <n v="0"/>
    <n v="0"/>
    <s v="Unnamed Projectws3Instantaneous UtilizationResource"/>
    <n v="1"/>
    <n v="0.81634011722827604"/>
    <n v="0"/>
    <n v="0.95"/>
    <n v="4E+20"/>
    <n v="0.81634011722827604"/>
    <n v="0.81634011722827604"/>
    <n v="2E+20"/>
  </r>
  <r>
    <x v="0"/>
    <s v="2026-07-23 15:48:11"/>
    <n v="1"/>
    <x v="11"/>
    <x v="3"/>
    <x v="2"/>
    <n v="0.81634011722827604"/>
    <n v="2E+20"/>
    <n v="0"/>
    <n v="1"/>
    <n v="0"/>
    <n v="0"/>
    <s v="Unnamed Projectws3Number BusyResource"/>
    <n v="1"/>
    <n v="0.81634011722827604"/>
    <n v="0"/>
    <n v="0.95"/>
    <n v="4E+20"/>
    <n v="0.81634011722827604"/>
    <n v="0.81634011722827604"/>
    <n v="2E+20"/>
  </r>
  <r>
    <x v="0"/>
    <s v="2026-07-23 15:48:11"/>
    <n v="1"/>
    <x v="11"/>
    <x v="4"/>
    <x v="2"/>
    <n v="1"/>
    <n v="2E+20"/>
    <n v="1"/>
    <n v="1"/>
    <n v="1"/>
    <n v="0"/>
    <s v="Unnamed Projectws3Number ScheduledResource"/>
    <n v="1"/>
    <n v="1"/>
    <n v="0"/>
    <n v="0.95"/>
    <n v="4E+20"/>
    <n v="1"/>
    <n v="1"/>
    <n v="2E+20"/>
  </r>
  <r>
    <x v="0"/>
    <s v="2026-07-23 15:48:11"/>
    <n v="1"/>
    <x v="12"/>
    <x v="2"/>
    <x v="2"/>
    <n v="0.81353380488452598"/>
    <n v="2E+20"/>
    <n v="0"/>
    <n v="1"/>
    <n v="0"/>
    <n v="0"/>
    <s v="Unnamed Projectws4Instantaneous UtilizationResource"/>
    <n v="1"/>
    <n v="0.81353380488452598"/>
    <n v="0"/>
    <n v="0.95"/>
    <n v="4E+20"/>
    <n v="0.81353380488452598"/>
    <n v="0.81353380488452598"/>
    <n v="2E+20"/>
  </r>
  <r>
    <x v="0"/>
    <s v="2026-07-23 15:48:11"/>
    <n v="1"/>
    <x v="12"/>
    <x v="3"/>
    <x v="2"/>
    <n v="0.81353380488452598"/>
    <n v="2E+20"/>
    <n v="0"/>
    <n v="1"/>
    <n v="0"/>
    <n v="0"/>
    <s v="Unnamed Projectws4Number BusyResource"/>
    <n v="1"/>
    <n v="0.81353380488452598"/>
    <n v="0"/>
    <n v="0.95"/>
    <n v="4E+20"/>
    <n v="0.81353380488452598"/>
    <n v="0.81353380488452598"/>
    <n v="2E+20"/>
  </r>
  <r>
    <x v="0"/>
    <s v="2026-07-23 15:48:11"/>
    <n v="1"/>
    <x v="12"/>
    <x v="4"/>
    <x v="2"/>
    <n v="1"/>
    <n v="2E+20"/>
    <n v="1"/>
    <n v="1"/>
    <n v="1"/>
    <n v="0"/>
    <s v="Unnamed Projectws4Number ScheduledResource"/>
    <n v="1"/>
    <n v="1"/>
    <n v="0"/>
    <n v="0.95"/>
    <n v="4E+20"/>
    <n v="1"/>
    <n v="1"/>
    <n v="2E+2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s v="2026-07-23 15:48:11"/>
    <n v="1"/>
    <x v="0"/>
    <x v="0"/>
    <x v="0"/>
    <n v="1.4880101426400001"/>
    <n v="3E+20"/>
    <n v="0"/>
    <n v="53.332423734005701"/>
    <n v="655"/>
    <s v="Unnamed ProjectAccess ws1.QueueWaiting TimeQueue"/>
    <n v="1"/>
    <n v="1.4880101426400001"/>
    <n v="0"/>
    <n v="0.95"/>
    <n v="4E+20"/>
    <n v="1.4880101426400001"/>
    <n v="1.4880101426400001"/>
    <n v="0"/>
    <n v="53.332423734005701"/>
    <n v="655"/>
    <n v="3E+20"/>
    <n v="1"/>
    <n v="1"/>
  </r>
  <r>
    <x v="0"/>
    <s v="2026-07-23 15:48:11"/>
    <n v="1"/>
    <x v="1"/>
    <x v="0"/>
    <x v="0"/>
    <n v="2.8347265488847602"/>
    <n v="3E+20"/>
    <n v="0"/>
    <n v="51.694082763856798"/>
    <n v="658"/>
    <s v="Unnamed ProjectAccess ws2.QueueWaiting TimeQueue"/>
    <n v="1"/>
    <n v="2.8347265488847602"/>
    <n v="0"/>
    <n v="0.95"/>
    <n v="4E+20"/>
    <n v="2.8347265488847602"/>
    <n v="2.8347265488847602"/>
    <n v="0"/>
    <n v="51.694082763856798"/>
    <n v="658"/>
    <n v="3E+20"/>
    <n v="1"/>
    <n v="1"/>
  </r>
  <r>
    <x v="0"/>
    <s v="2026-07-23 15:48:11"/>
    <n v="1"/>
    <x v="2"/>
    <x v="0"/>
    <x v="0"/>
    <n v="0.71106873368268697"/>
    <n v="3E+20"/>
    <n v="0"/>
    <n v="32.737151645000303"/>
    <n v="646"/>
    <s v="Unnamed ProjectAccess ws3.QueueWaiting TimeQueue"/>
    <n v="1"/>
    <n v="0.71106873368268697"/>
    <n v="0"/>
    <n v="0.95"/>
    <n v="4E+20"/>
    <n v="0.71106873368268697"/>
    <n v="0.71106873368268697"/>
    <n v="0"/>
    <n v="32.737151645000303"/>
    <n v="646"/>
    <n v="3E+20"/>
    <n v="1"/>
    <n v="1"/>
  </r>
  <r>
    <x v="0"/>
    <s v="2026-07-23 15:48:11"/>
    <n v="1"/>
    <x v="3"/>
    <x v="0"/>
    <x v="0"/>
    <n v="13.3474320331564"/>
    <n v="0.68220235660712902"/>
    <n v="0"/>
    <n v="61"/>
    <n v="656"/>
    <s v="Unnamed ProjectHold.QueueWaiting TimeQueue"/>
    <n v="1"/>
    <n v="13.3474320331564"/>
    <n v="0"/>
    <n v="0.95"/>
    <n v="4E+20"/>
    <n v="13.3474320331564"/>
    <n v="13.3474320331564"/>
    <n v="0"/>
    <n v="61"/>
    <n v="656"/>
    <n v="0.68220235660712902"/>
    <n v="1"/>
    <n v="1"/>
  </r>
  <r>
    <x v="0"/>
    <s v="2026-07-23 15:48:11"/>
    <n v="1"/>
    <x v="4"/>
    <x v="1"/>
    <x v="1"/>
    <n v="0"/>
    <n v="0"/>
    <n v="0"/>
    <n v="0"/>
    <n v="644"/>
    <s v="Unnamed ProjectproductNVA TimeEntity"/>
    <n v="1"/>
    <n v="0"/>
    <n v="0"/>
    <n v="0.95"/>
    <n v="4E+20"/>
    <n v="0"/>
    <n v="0"/>
    <n v="0"/>
    <n v="0"/>
    <n v="644"/>
    <n v="0"/>
    <n v="1"/>
    <n v="1"/>
  </r>
  <r>
    <x v="0"/>
    <s v="2026-07-23 15:48:11"/>
    <n v="1"/>
    <x v="4"/>
    <x v="2"/>
    <x v="1"/>
    <n v="45.558269435350702"/>
    <n v="0.25960386876271502"/>
    <n v="35.684194154314397"/>
    <n v="58.533304422265203"/>
    <n v="644"/>
    <s v="Unnamed ProjectproductOther TimeEntity"/>
    <n v="1"/>
    <n v="45.558269435350702"/>
    <n v="0"/>
    <n v="0.95"/>
    <n v="4E+20"/>
    <n v="45.558269435350702"/>
    <n v="45.558269435350702"/>
    <n v="35.684194154314397"/>
    <n v="58.533304422265203"/>
    <n v="644"/>
    <n v="0.25960386876271502"/>
    <n v="1"/>
    <n v="1"/>
  </r>
  <r>
    <x v="0"/>
    <s v="2026-07-23 15:48:11"/>
    <n v="1"/>
    <x v="4"/>
    <x v="3"/>
    <x v="1"/>
    <n v="176.50454119382499"/>
    <n v="3E+20"/>
    <n v="66.7679529246589"/>
    <n v="305.16506428442699"/>
    <n v="644"/>
    <s v="Unnamed ProjectproductTotal TimeEntity"/>
    <n v="1"/>
    <n v="176.50454119382499"/>
    <n v="0"/>
    <n v="0.95"/>
    <n v="4E+20"/>
    <n v="176.50454119382499"/>
    <n v="176.50454119382499"/>
    <n v="66.7679529246589"/>
    <n v="305.16506428442699"/>
    <n v="644"/>
    <n v="3E+20"/>
    <n v="1"/>
    <n v="1"/>
  </r>
  <r>
    <x v="0"/>
    <s v="2026-07-23 15:48:11"/>
    <n v="1"/>
    <x v="4"/>
    <x v="4"/>
    <x v="1"/>
    <n v="74.730086383538193"/>
    <n v="3E+20"/>
    <n v="10.988867684035499"/>
    <n v="209"/>
    <n v="644"/>
    <s v="Unnamed ProjectproductTransfer TimeEntity"/>
    <n v="1"/>
    <n v="74.730086383538193"/>
    <n v="0"/>
    <n v="0.95"/>
    <n v="4E+20"/>
    <n v="74.730086383538193"/>
    <n v="74.730086383538193"/>
    <n v="10.988867684035499"/>
    <n v="209"/>
    <n v="644"/>
    <n v="3E+20"/>
    <n v="1"/>
    <n v="1"/>
  </r>
  <r>
    <x v="0"/>
    <s v="2026-07-23 15:48:11"/>
    <n v="1"/>
    <x v="4"/>
    <x v="5"/>
    <x v="1"/>
    <n v="0"/>
    <n v="0"/>
    <n v="0"/>
    <n v="0"/>
    <n v="644"/>
    <s v="Unnamed ProjectproductVA TimeEntity"/>
    <n v="1"/>
    <n v="0"/>
    <n v="0"/>
    <n v="0.95"/>
    <n v="4E+20"/>
    <n v="0"/>
    <n v="0"/>
    <n v="0"/>
    <n v="0"/>
    <n v="644"/>
    <n v="0"/>
    <n v="1"/>
    <n v="1"/>
  </r>
  <r>
    <x v="0"/>
    <s v="2026-07-23 15:48:11"/>
    <n v="1"/>
    <x v="4"/>
    <x v="6"/>
    <x v="1"/>
    <n v="56.216185374936003"/>
    <n v="3E+20"/>
    <n v="10.4878435678229"/>
    <n v="182.18700188007901"/>
    <n v="644"/>
    <s v="Unnamed ProjectproductWait TimeEntity"/>
    <n v="1"/>
    <n v="56.216185374936003"/>
    <n v="0"/>
    <n v="0.95"/>
    <n v="4E+20"/>
    <n v="56.216185374936003"/>
    <n v="56.216185374936003"/>
    <n v="10.4878435678229"/>
    <n v="182.18700188007901"/>
    <n v="644"/>
    <n v="3E+20"/>
    <n v="1"/>
    <n v="1"/>
  </r>
  <r>
    <x v="0"/>
    <s v="2026-07-23 15:48:11"/>
    <n v="1"/>
    <x v="5"/>
    <x v="0"/>
    <x v="0"/>
    <n v="1.89103238380453"/>
    <n v="0.59793200631841203"/>
    <n v="0"/>
    <n v="36.952703134354998"/>
    <n v="656"/>
    <s v="Unnamed ProjectSeize ws1.QueueWaiting TimeQueue"/>
    <n v="1"/>
    <n v="1.89103238380453"/>
    <n v="0"/>
    <n v="0.95"/>
    <n v="4E+20"/>
    <n v="1.89103238380453"/>
    <n v="1.89103238380453"/>
    <n v="0"/>
    <n v="36.952703134354998"/>
    <n v="656"/>
    <n v="0.59793200631841203"/>
    <n v="1"/>
    <n v="1"/>
  </r>
  <r>
    <x v="0"/>
    <s v="2026-07-23 15:48:11"/>
    <n v="1"/>
    <x v="6"/>
    <x v="0"/>
    <x v="0"/>
    <n v="10.2761454726685"/>
    <n v="3E+20"/>
    <n v="0"/>
    <n v="76.239613596303997"/>
    <n v="650"/>
    <s v="Unnamed ProjectSeize ws2.QueueWaiting TimeQueue"/>
    <n v="1"/>
    <n v="10.2761454726685"/>
    <n v="0"/>
    <n v="0.95"/>
    <n v="4E+20"/>
    <n v="10.2761454726685"/>
    <n v="10.2761454726685"/>
    <n v="0"/>
    <n v="76.239613596303997"/>
    <n v="650"/>
    <n v="3E+20"/>
    <n v="1"/>
    <n v="1"/>
  </r>
  <r>
    <x v="0"/>
    <s v="2026-07-23 15:48:11"/>
    <n v="1"/>
    <x v="7"/>
    <x v="0"/>
    <x v="0"/>
    <n v="11.838192101540599"/>
    <n v="0.99659725094876195"/>
    <n v="0"/>
    <n v="62.588332234374299"/>
    <n v="645"/>
    <s v="Unnamed ProjectSeize ws3.QueueWaiting TimeQueue"/>
    <n v="1"/>
    <n v="11.838192101540599"/>
    <n v="0"/>
    <n v="0.95"/>
    <n v="4E+20"/>
    <n v="11.838192101540599"/>
    <n v="11.838192101540599"/>
    <n v="0"/>
    <n v="62.588332234374299"/>
    <n v="645"/>
    <n v="0.99659725094876195"/>
    <n v="1"/>
    <n v="1"/>
  </r>
  <r>
    <x v="0"/>
    <s v="2026-07-23 15:48:11"/>
    <n v="1"/>
    <x v="8"/>
    <x v="0"/>
    <x v="0"/>
    <n v="8.3406913661322903"/>
    <n v="3E+20"/>
    <n v="0"/>
    <n v="55.224362033730401"/>
    <n v="644"/>
    <s v="Unnamed ProjectSeize ws4.QueueWaiting TimeQueue"/>
    <n v="1"/>
    <n v="8.3406913661322903"/>
    <n v="0"/>
    <n v="0.95"/>
    <n v="4E+20"/>
    <n v="8.3406913661322903"/>
    <n v="8.3406913661322903"/>
    <n v="0"/>
    <n v="55.224362033730401"/>
    <n v="644"/>
    <n v="3E+20"/>
    <n v="1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">
  <r>
    <x v="0"/>
    <s v="2026-07-23 15:48:11"/>
    <n v="1"/>
    <x v="0"/>
    <x v="0"/>
    <x v="0"/>
    <n v="644"/>
    <n v="0"/>
    <s v="Unnamed ProjectSystem.NumberOutNumber OutSystem"/>
    <n v="1"/>
    <n v="644"/>
    <n v="0"/>
    <n v="0.95"/>
    <n v="4E+20"/>
    <n v="644"/>
    <n v="644"/>
  </r>
  <r>
    <x v="0"/>
    <s v="2026-07-23 15:48:11"/>
    <n v="1"/>
    <x v="1"/>
    <x v="1"/>
    <x v="1"/>
    <n v="657"/>
    <n v="0"/>
    <s v="Unnamed Projectproduct.NumberInNumber InEntity"/>
    <n v="1"/>
    <n v="657"/>
    <n v="0"/>
    <n v="0.95"/>
    <n v="4E+20"/>
    <n v="657"/>
    <n v="657"/>
  </r>
  <r>
    <x v="0"/>
    <s v="2026-07-23 15:48:11"/>
    <n v="1"/>
    <x v="2"/>
    <x v="0"/>
    <x v="1"/>
    <n v="644"/>
    <n v="0"/>
    <s v="Unnamed Projectproduct.NumberOutNumber OutEntity"/>
    <n v="1"/>
    <n v="644"/>
    <n v="0"/>
    <n v="0.95"/>
    <n v="4E+20"/>
    <n v="644"/>
    <n v="644"/>
  </r>
  <r>
    <x v="0"/>
    <s v="2026-07-23 15:48:11"/>
    <n v="1"/>
    <x v="3"/>
    <x v="2"/>
    <x v="2"/>
    <n v="656"/>
    <n v="0"/>
    <s v="Unnamed Projectws1.NumberSeizedTotal Number SeizedResource"/>
    <n v="1"/>
    <n v="656"/>
    <n v="0"/>
    <n v="0.95"/>
    <n v="4E+20"/>
    <n v="656"/>
    <n v="656"/>
  </r>
  <r>
    <x v="0"/>
    <s v="2026-07-23 15:48:11"/>
    <n v="1"/>
    <x v="4"/>
    <x v="3"/>
    <x v="2"/>
    <n v="0.87594827562242195"/>
    <n v="0"/>
    <s v="Unnamed Projectws1.ScheduledUtilizationScheduled UtilizationResource"/>
    <n v="1"/>
    <n v="0.87594827562242195"/>
    <n v="0"/>
    <n v="0.95"/>
    <n v="4E+20"/>
    <n v="0.87594827562242195"/>
    <n v="0.87594827562242195"/>
  </r>
  <r>
    <x v="0"/>
    <s v="2026-07-23 15:48:11"/>
    <n v="1"/>
    <x v="5"/>
    <x v="2"/>
    <x v="2"/>
    <n v="650"/>
    <n v="0"/>
    <s v="Unnamed Projectws2.NumberSeizedTotal Number SeizedResource"/>
    <n v="1"/>
    <n v="650"/>
    <n v="0"/>
    <n v="0.95"/>
    <n v="4E+20"/>
    <n v="650"/>
    <n v="650"/>
  </r>
  <r>
    <x v="0"/>
    <s v="2026-07-23 15:48:11"/>
    <n v="1"/>
    <x v="6"/>
    <x v="3"/>
    <x v="2"/>
    <n v="0.77826134577488204"/>
    <n v="0"/>
    <s v="Unnamed Projectws2.ScheduledUtilizationScheduled UtilizationResource"/>
    <n v="1"/>
    <n v="0.77826134577488204"/>
    <n v="0"/>
    <n v="0.95"/>
    <n v="4E+20"/>
    <n v="0.77826134577488204"/>
    <n v="0.77826134577488204"/>
  </r>
  <r>
    <x v="0"/>
    <s v="2026-07-23 15:48:11"/>
    <n v="1"/>
    <x v="7"/>
    <x v="2"/>
    <x v="2"/>
    <n v="645"/>
    <n v="0"/>
    <s v="Unnamed Projectws3.NumberSeizedTotal Number SeizedResource"/>
    <n v="1"/>
    <n v="645"/>
    <n v="0"/>
    <n v="0.95"/>
    <n v="4E+20"/>
    <n v="645"/>
    <n v="645"/>
  </r>
  <r>
    <x v="0"/>
    <s v="2026-07-23 15:48:11"/>
    <n v="1"/>
    <x v="8"/>
    <x v="3"/>
    <x v="2"/>
    <n v="0.81634011722827604"/>
    <n v="0"/>
    <s v="Unnamed Projectws3.ScheduledUtilizationScheduled UtilizationResource"/>
    <n v="1"/>
    <n v="0.81634011722827604"/>
    <n v="0"/>
    <n v="0.95"/>
    <n v="4E+20"/>
    <n v="0.81634011722827604"/>
    <n v="0.81634011722827604"/>
  </r>
  <r>
    <x v="0"/>
    <s v="2026-07-23 15:48:11"/>
    <n v="1"/>
    <x v="9"/>
    <x v="2"/>
    <x v="2"/>
    <n v="644"/>
    <n v="0"/>
    <s v="Unnamed Projectws4.NumberSeizedTotal Number SeizedResource"/>
    <n v="1"/>
    <n v="644"/>
    <n v="0"/>
    <n v="0.95"/>
    <n v="4E+20"/>
    <n v="644"/>
    <n v="644"/>
  </r>
  <r>
    <x v="0"/>
    <s v="2026-07-23 15:48:11"/>
    <n v="1"/>
    <x v="10"/>
    <x v="3"/>
    <x v="2"/>
    <n v="0.81353380488452598"/>
    <n v="0"/>
    <s v="Unnamed Projectws4.ScheduledUtilizationScheduled UtilizationResource"/>
    <n v="1"/>
    <n v="0.81353380488452598"/>
    <n v="0"/>
    <n v="0.95"/>
    <n v="4E+20"/>
    <n v="0.81353380488452598"/>
    <n v="0.81353380488452598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81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2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37">
        <item m="1" x="28"/>
        <item m="1" x="19"/>
        <item m="1" x="35"/>
        <item m="1" x="44"/>
        <item m="1" x="57"/>
        <item m="1" x="56"/>
        <item m="1" x="20"/>
        <item m="1" x="121"/>
        <item m="1" x="99"/>
        <item m="1" x="62"/>
        <item m="1" x="49"/>
        <item m="1" x="53"/>
        <item m="1" x="135"/>
        <item m="1" x="38"/>
        <item m="1" x="120"/>
        <item m="1" x="42"/>
        <item m="1" x="93"/>
        <item m="1" x="107"/>
        <item m="1" x="17"/>
        <item m="1" x="43"/>
        <item m="1" x="130"/>
        <item m="1" x="32"/>
        <item m="1" x="122"/>
        <item m="1" x="21"/>
        <item m="1" x="48"/>
        <item m="1" x="74"/>
        <item m="1" x="18"/>
        <item m="1" x="24"/>
        <item m="1" x="94"/>
        <item m="1" x="75"/>
        <item m="1" x="109"/>
        <item m="1" x="65"/>
        <item m="1" x="29"/>
        <item m="1" x="59"/>
        <item m="1" x="95"/>
        <item m="1" x="80"/>
        <item m="1" x="30"/>
        <item m="1" x="40"/>
        <item m="1" x="102"/>
        <item m="1" x="16"/>
        <item m="1" x="129"/>
        <item m="1" x="87"/>
        <item m="1" x="27"/>
        <item m="1" x="112"/>
        <item m="1" x="58"/>
        <item m="1" x="131"/>
        <item m="1" x="92"/>
        <item m="1" x="34"/>
        <item m="1" x="79"/>
        <item m="1" x="98"/>
        <item m="1" x="111"/>
        <item m="1" x="119"/>
        <item m="1" x="128"/>
        <item m="1" x="15"/>
        <item m="1" x="33"/>
        <item m="1" x="47"/>
        <item m="1" x="36"/>
        <item m="1" x="14"/>
        <item m="1" x="108"/>
        <item m="1" x="125"/>
        <item m="1" x="51"/>
        <item m="1" x="86"/>
        <item m="1" x="39"/>
        <item m="1" x="60"/>
        <item m="1" x="45"/>
        <item m="1" x="69"/>
        <item m="1" x="54"/>
        <item m="1" x="76"/>
        <item m="1" x="61"/>
        <item m="1" x="88"/>
        <item m="1" x="70"/>
        <item m="1" x="96"/>
        <item m="1" x="77"/>
        <item m="1" x="105"/>
        <item m="1" x="89"/>
        <item m="1" x="110"/>
        <item m="1" x="97"/>
        <item m="1" x="114"/>
        <item m="1" x="126"/>
        <item m="1" x="116"/>
        <item m="1" x="100"/>
        <item m="1" x="73"/>
        <item m="1" x="52"/>
        <item m="1" x="67"/>
        <item m="1" x="31"/>
        <item m="1" x="37"/>
        <item m="1" x="46"/>
        <item m="1" x="50"/>
        <item m="1" x="82"/>
        <item m="1" x="127"/>
        <item m="1" x="117"/>
        <item m="1" x="101"/>
        <item m="1" x="68"/>
        <item m="1" x="136"/>
        <item m="1" x="84"/>
        <item m="1" x="72"/>
        <item m="1" x="104"/>
        <item m="1" x="85"/>
        <item m="1" x="64"/>
        <item m="1" x="71"/>
        <item m="1" x="25"/>
        <item m="1" x="90"/>
        <item m="1" x="106"/>
        <item m="1" x="115"/>
        <item m="1" x="123"/>
        <item m="1" x="134"/>
        <item m="1" x="22"/>
        <item m="1" x="41"/>
        <item m="1" x="133"/>
        <item m="1" x="23"/>
        <item m="1" x="91"/>
        <item m="1" x="66"/>
        <item m="1" x="81"/>
        <item m="1" x="26"/>
        <item m="1" x="132"/>
        <item m="1" x="113"/>
        <item m="1" x="63"/>
        <item m="1" x="124"/>
        <item m="1" x="83"/>
        <item m="1" x="103"/>
        <item m="1" x="118"/>
        <item m="1" x="55"/>
        <item m="1" x="78"/>
        <item m="1" x="13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</items>
    </pivotField>
    <pivotField axis="axisRow" compact="0" outline="0" showAll="0" defaultSubtotal="0">
      <items count="7">
        <item x="2"/>
        <item x="3"/>
        <item x="4"/>
        <item x="0"/>
        <item x="1"/>
        <item m="1" x="6"/>
        <item m="1" x="5"/>
      </items>
    </pivotField>
    <pivotField axis="axisRow" compact="0" outline="0" showAll="0" defaultSubtotal="0">
      <items count="5">
        <item x="1"/>
        <item x="0"/>
        <item x="2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1">
    <i>
      <x v="3"/>
      <x v="124"/>
      <x v="3"/>
      <x v="1"/>
    </i>
    <i r="1">
      <x v="125"/>
      <x v="3"/>
      <x v="1"/>
    </i>
    <i r="1">
      <x v="126"/>
      <x v="3"/>
      <x v="1"/>
    </i>
    <i r="1">
      <x v="127"/>
      <x v="3"/>
      <x v="1"/>
    </i>
    <i r="1">
      <x v="128"/>
      <x v="3"/>
      <x v="1"/>
    </i>
    <i r="1">
      <x v="129"/>
      <x v="3"/>
      <x v="1"/>
    </i>
    <i r="1">
      <x v="130"/>
      <x v="3"/>
      <x v="1"/>
    </i>
    <i r="1">
      <x v="131"/>
      <x v="3"/>
      <x v="1"/>
    </i>
    <i r="1">
      <x v="132"/>
      <x v="4"/>
      <x/>
    </i>
    <i r="1">
      <x v="133"/>
      <x/>
      <x v="2"/>
    </i>
    <i r="2">
      <x v="1"/>
      <x v="2"/>
    </i>
    <i r="2">
      <x v="2"/>
      <x v="2"/>
    </i>
    <i r="1">
      <x v="134"/>
      <x/>
      <x v="2"/>
    </i>
    <i r="2">
      <x v="1"/>
      <x v="2"/>
    </i>
    <i r="2">
      <x v="2"/>
      <x v="2"/>
    </i>
    <i r="1">
      <x v="135"/>
      <x/>
      <x v="2"/>
    </i>
    <i r="2">
      <x v="1"/>
      <x v="2"/>
    </i>
    <i r="2">
      <x v="2"/>
      <x v="2"/>
    </i>
    <i r="1">
      <x v="136"/>
      <x/>
      <x v="2"/>
    </i>
    <i r="2">
      <x v="1"/>
      <x v="2"/>
    </i>
    <i r="2">
      <x v="2"/>
      <x v="2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88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95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16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8">
        <item m="1" x="19"/>
        <item m="1" x="42"/>
        <item m="1" x="14"/>
        <item m="1" x="94"/>
        <item m="1" x="77"/>
        <item m="1" x="47"/>
        <item m="1" x="103"/>
        <item m="1" x="35"/>
        <item m="1" x="39"/>
        <item m="1" x="106"/>
        <item m="1" x="72"/>
        <item m="1" x="84"/>
        <item m="1" x="89"/>
        <item m="1" x="13"/>
        <item m="1" x="41"/>
        <item m="1" x="31"/>
        <item m="1" x="107"/>
        <item m="1" x="101"/>
        <item m="1" x="29"/>
        <item m="1" x="23"/>
        <item m="1" x="95"/>
        <item m="1" x="15"/>
        <item m="1" x="48"/>
        <item m="1" x="34"/>
        <item m="1" x="59"/>
        <item m="1" x="86"/>
        <item m="1" x="50"/>
        <item m="1" x="20"/>
        <item m="1" x="44"/>
        <item m="1" x="73"/>
        <item m="1" x="63"/>
        <item m="1" x="21"/>
        <item m="1" x="80"/>
        <item m="1" x="12"/>
        <item m="1" x="100"/>
        <item m="1" x="68"/>
        <item m="1" x="88"/>
        <item m="1" x="43"/>
        <item m="1" x="102"/>
        <item m="1" x="71"/>
        <item m="1" x="25"/>
        <item m="1" x="62"/>
        <item m="1" x="76"/>
        <item m="1" x="87"/>
        <item m="1" x="93"/>
        <item m="1" x="11"/>
        <item m="1" x="24"/>
        <item m="1" x="33"/>
        <item m="1" x="26"/>
        <item m="1" x="10"/>
        <item m="1" x="85"/>
        <item m="1" x="97"/>
        <item m="1" x="37"/>
        <item m="1" x="67"/>
        <item m="1" x="28"/>
        <item m="1" x="45"/>
        <item m="1" x="32"/>
        <item m="1" x="53"/>
        <item m="1" x="40"/>
        <item m="1" x="60"/>
        <item m="1" x="46"/>
        <item m="1" x="69"/>
        <item m="1" x="54"/>
        <item m="1" x="74"/>
        <item m="1" x="61"/>
        <item m="1" x="82"/>
        <item m="1" x="75"/>
        <item m="1" x="90"/>
        <item m="1" x="98"/>
        <item m="1" x="78"/>
        <item m="1" x="57"/>
        <item m="1" x="38"/>
        <item m="1" x="51"/>
        <item m="1" x="22"/>
        <item m="1" x="27"/>
        <item m="1" x="36"/>
        <item m="1" x="64"/>
        <item m="1" x="99"/>
        <item m="1" x="92"/>
        <item m="1" x="79"/>
        <item m="1" x="52"/>
        <item m="1" x="65"/>
        <item m="1" x="56"/>
        <item m="1" x="81"/>
        <item m="1" x="66"/>
        <item m="1" x="49"/>
        <item m="1" x="55"/>
        <item m="1" x="18"/>
        <item m="1" x="58"/>
        <item m="1" x="70"/>
        <item m="1" x="83"/>
        <item m="1" x="91"/>
        <item m="1" x="96"/>
        <item m="1" x="105"/>
        <item m="1" x="16"/>
        <item m="1" x="30"/>
        <item m="1" x="104"/>
        <item m="1" x="17"/>
        <item m="1" x="9"/>
        <item x="0"/>
        <item x="1"/>
        <item x="2"/>
        <item x="3"/>
        <item x="4"/>
        <item x="5"/>
        <item x="6"/>
        <item x="7"/>
        <item x="8"/>
      </items>
    </pivotField>
    <pivotField axis="axisRow" compact="0" outline="0" showAll="0" defaultSubtotal="0">
      <items count="12">
        <item m="1" x="11"/>
        <item x="1"/>
        <item x="2"/>
        <item x="3"/>
        <item x="4"/>
        <item x="5"/>
        <item x="6"/>
        <item x="0"/>
        <item m="1" x="8"/>
        <item m="1" x="9"/>
        <item m="1" x="10"/>
        <item m="1" x="7"/>
      </items>
    </pivotField>
    <pivotField axis="axisRow" compact="0" outline="0" showAll="0" defaultSubtotal="0">
      <items count="5">
        <item x="1"/>
        <item x="0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14">
    <i>
      <x v="3"/>
      <x v="99"/>
      <x v="7"/>
      <x v="1"/>
    </i>
    <i r="1">
      <x v="100"/>
      <x v="7"/>
      <x v="1"/>
    </i>
    <i r="1">
      <x v="101"/>
      <x v="7"/>
      <x v="1"/>
    </i>
    <i r="1">
      <x v="102"/>
      <x v="7"/>
      <x v="1"/>
    </i>
    <i r="1">
      <x v="103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4"/>
      <x v="7"/>
      <x v="1"/>
    </i>
    <i r="1">
      <x v="105"/>
      <x v="7"/>
      <x v="1"/>
    </i>
    <i r="1">
      <x v="106"/>
      <x v="7"/>
      <x v="1"/>
    </i>
    <i r="1">
      <x v="107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102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13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9">
        <item m="1" x="36"/>
        <item m="1" x="12"/>
        <item m="1" x="37"/>
        <item m="1" x="13"/>
        <item m="1" x="38"/>
        <item m="1" x="14"/>
        <item m="1" x="39"/>
        <item m="1" x="15"/>
        <item m="1" x="71"/>
        <item m="1" x="26"/>
        <item x="0"/>
        <item m="1" x="70"/>
        <item m="1" x="57"/>
        <item m="1" x="74"/>
        <item m="1" x="59"/>
        <item m="1" x="75"/>
        <item m="1" x="82"/>
        <item m="1" x="51"/>
        <item m="1" x="19"/>
        <item m="1" x="68"/>
        <item m="1" x="58"/>
        <item m="1" x="56"/>
        <item m="1" x="22"/>
        <item m="1" x="66"/>
        <item m="1" x="31"/>
        <item m="1" x="67"/>
        <item m="1" x="32"/>
        <item m="1" x="65"/>
        <item m="1" x="85"/>
        <item m="1" x="25"/>
        <item m="1" x="88"/>
        <item m="1" x="53"/>
        <item m="1" x="20"/>
        <item m="1" x="83"/>
        <item m="1" x="78"/>
        <item m="1" x="54"/>
        <item m="1" x="21"/>
        <item m="1" x="84"/>
        <item m="1" x="79"/>
        <item m="1" x="16"/>
        <item m="1" x="50"/>
        <item m="1" x="34"/>
        <item m="1" x="24"/>
        <item m="1" x="76"/>
        <item m="1" x="46"/>
        <item m="1" x="77"/>
        <item m="1" x="47"/>
        <item m="1" x="33"/>
        <item m="1" x="28"/>
        <item m="1" x="55"/>
        <item m="1" x="30"/>
        <item m="1" x="87"/>
        <item m="1" x="80"/>
        <item m="1" x="29"/>
        <item m="1" x="27"/>
        <item m="1" x="72"/>
        <item m="1" x="81"/>
        <item m="1" x="17"/>
        <item m="1" x="35"/>
        <item m="1" x="48"/>
        <item m="1" x="69"/>
        <item m="1" x="86"/>
        <item m="1" x="18"/>
        <item m="1" x="45"/>
        <item m="1" x="49"/>
        <item m="1" x="73"/>
        <item m="1" x="52"/>
        <item m="1" x="23"/>
        <item m="1" x="40"/>
        <item m="1" x="60"/>
        <item m="1" x="41"/>
        <item m="1" x="61"/>
        <item m="1" x="42"/>
        <item m="1" x="62"/>
        <item m="1" x="43"/>
        <item m="1" x="63"/>
        <item m="1" x="44"/>
        <item m="1" x="64"/>
        <item m="1" x="11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outline="0" showAll="0" defaultSubtotal="0">
      <items count="7">
        <item x="1"/>
        <item x="0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1"/>
        <item x="2"/>
        <item x="0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1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  <i r="1">
      <x v="83"/>
      <x v="3"/>
      <x v="1"/>
    </i>
    <i r="1">
      <x v="84"/>
      <x v="2"/>
      <x v="1"/>
    </i>
    <i r="1">
      <x v="85"/>
      <x v="3"/>
      <x v="1"/>
    </i>
    <i r="1">
      <x v="86"/>
      <x v="2"/>
      <x v="1"/>
    </i>
    <i r="1">
      <x v="87"/>
      <x v="3"/>
      <x v="1"/>
    </i>
    <i r="1">
      <x v="88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109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15" tableType="queryTable" totalsRowShown="0">
  <autoFilter ref="A1:Y15" xr:uid="{C3D003CA-1AFF-426C-A03D-D3AF5760DF1A}"/>
  <sortState xmlns:xlrd2="http://schemas.microsoft.com/office/spreadsheetml/2017/richdata2" ref="A2:Y15">
    <sortCondition ref="D1:D15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22" tableType="queryTable" totalsRowShown="0">
  <autoFilter ref="A1:U22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44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43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42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41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40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39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38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37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36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2" tableType="queryTable" totalsRowShown="0">
  <autoFilter ref="A1:P12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55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54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3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52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51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50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9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48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47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46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45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Office 2013 – 2022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B4" sqref="B4"/>
    </sheetView>
  </sheetViews>
  <sheetFormatPr defaultRowHeight="14.5" x14ac:dyDescent="0.35"/>
  <cols>
    <col min="1" max="1" width="15.26953125" bestFit="1" customWidth="1"/>
    <col min="2" max="2" width="80.7265625" bestFit="1" customWidth="1"/>
    <col min="3" max="3" width="17.81640625" bestFit="1" customWidth="1"/>
    <col min="4" max="4" width="11.54296875" bestFit="1" customWidth="1"/>
    <col min="5" max="5" width="22.1796875" bestFit="1" customWidth="1"/>
    <col min="6" max="6" width="23.6328125" bestFit="1" customWidth="1"/>
    <col min="7" max="7" width="19" bestFit="1" customWidth="1"/>
    <col min="8" max="10" width="19.453125" bestFit="1" customWidth="1"/>
    <col min="11" max="11" width="19.453125" customWidth="1"/>
  </cols>
  <sheetData>
    <row r="1" spans="1:7" x14ac:dyDescent="0.35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5">
      <c r="A2" t="s">
        <v>66</v>
      </c>
      <c r="B2" t="s">
        <v>68</v>
      </c>
      <c r="C2" t="s">
        <v>69</v>
      </c>
      <c r="D2">
        <v>2</v>
      </c>
      <c r="E2">
        <v>1</v>
      </c>
      <c r="F2">
        <v>10000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23"/>
  <sheetViews>
    <sheetView tabSelected="1" workbookViewId="0"/>
  </sheetViews>
  <sheetFormatPr defaultRowHeight="14.5" x14ac:dyDescent="0.35"/>
  <cols>
    <col min="1" max="1" width="33.26953125" customWidth="1"/>
    <col min="2" max="2" width="28.7265625" bestFit="1" customWidth="1"/>
    <col min="3" max="3" width="12.54296875" bestFit="1" customWidth="1"/>
    <col min="4" max="4" width="8.7265625" bestFit="1" customWidth="1"/>
    <col min="5" max="5" width="28.08984375" bestFit="1" customWidth="1"/>
    <col min="6" max="6" width="19.36328125" bestFit="1" customWidth="1"/>
    <col min="7" max="7" width="11.81640625" bestFit="1" customWidth="1"/>
    <col min="8" max="9" width="26.1796875" bestFit="1" customWidth="1"/>
    <col min="10" max="10" width="26.54296875" bestFit="1" customWidth="1"/>
    <col min="11" max="11" width="15.7265625" bestFit="1" customWidth="1"/>
    <col min="12" max="12" width="16.08984375" bestFit="1" customWidth="1"/>
    <col min="13" max="13" width="28.7265625" bestFit="1" customWidth="1"/>
    <col min="14" max="14" width="27.7265625" bestFit="1" customWidth="1"/>
    <col min="15" max="15" width="18.7265625" bestFit="1" customWidth="1"/>
    <col min="16" max="16" width="12" bestFit="1" customWidth="1"/>
    <col min="17" max="17" width="12.54296875" bestFit="1" customWidth="1"/>
    <col min="18" max="18" width="8.7265625" bestFit="1" customWidth="1"/>
    <col min="19" max="19" width="28.08984375" bestFit="1" customWidth="1"/>
    <col min="20" max="20" width="11.81640625" bestFit="1" customWidth="1"/>
    <col min="21" max="21" width="26.1796875" bestFit="1" customWidth="1"/>
    <col min="22" max="22" width="21.26953125" bestFit="1" customWidth="1"/>
    <col min="23" max="23" width="21.6328125" bestFit="1" customWidth="1"/>
    <col min="24" max="24" width="15.7265625" bestFit="1" customWidth="1"/>
    <col min="25" max="25" width="16.08984375" bestFit="1" customWidth="1"/>
    <col min="26" max="26" width="16.26953125" bestFit="1" customWidth="1"/>
    <col min="27" max="27" width="20.7265625" bestFit="1" customWidth="1"/>
    <col min="28" max="28" width="24.7265625" bestFit="1" customWidth="1"/>
    <col min="29" max="29" width="12" bestFit="1" customWidth="1"/>
    <col min="30" max="30" width="8.7265625" bestFit="1" customWidth="1"/>
    <col min="31" max="31" width="24.26953125" bestFit="1" customWidth="1"/>
    <col min="32" max="32" width="10" bestFit="1" customWidth="1"/>
    <col min="33" max="33" width="28.81640625" bestFit="1" customWidth="1"/>
    <col min="34" max="34" width="19.1796875" bestFit="1" customWidth="1"/>
    <col min="35" max="35" width="19.54296875" bestFit="1" customWidth="1"/>
    <col min="36" max="36" width="19.81640625" bestFit="1" customWidth="1"/>
    <col min="37" max="37" width="32.26953125" bestFit="1" customWidth="1"/>
    <col min="38" max="38" width="24.7265625" bestFit="1" customWidth="1"/>
    <col min="39" max="39" width="12" bestFit="1" customWidth="1"/>
    <col min="40" max="40" width="8.7265625" bestFit="1" customWidth="1"/>
    <col min="41" max="41" width="24.26953125" bestFit="1" customWidth="1"/>
    <col min="42" max="42" width="10" bestFit="1" customWidth="1"/>
    <col min="43" max="43" width="28.81640625" bestFit="1" customWidth="1"/>
    <col min="44" max="44" width="19.1796875" bestFit="1" customWidth="1"/>
    <col min="45" max="45" width="19.54296875" bestFit="1" customWidth="1"/>
    <col min="46" max="46" width="19.81640625" bestFit="1" customWidth="1"/>
    <col min="47" max="47" width="14.81640625" bestFit="1" customWidth="1"/>
    <col min="48" max="48" width="20.7265625" bestFit="1" customWidth="1"/>
    <col min="49" max="49" width="26.26953125" bestFit="1" customWidth="1"/>
    <col min="50" max="50" width="8.7265625" bestFit="1" customWidth="1"/>
    <col min="51" max="51" width="25.81640625" bestFit="1" customWidth="1"/>
    <col min="52" max="52" width="26.6328125" bestFit="1" customWidth="1"/>
    <col min="53" max="53" width="27" bestFit="1" customWidth="1"/>
    <col min="54" max="54" width="24.81640625" bestFit="1" customWidth="1"/>
    <col min="55" max="55" width="29.26953125" bestFit="1" customWidth="1"/>
    <col min="56" max="56" width="31.81640625" bestFit="1" customWidth="1"/>
    <col min="57" max="57" width="21.7265625" bestFit="1" customWidth="1"/>
  </cols>
  <sheetData>
    <row r="1" spans="1:52" ht="18.5" x14ac:dyDescent="0.4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5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5">
      <c r="A3" t="s">
        <v>66</v>
      </c>
      <c r="B3" t="s">
        <v>70</v>
      </c>
      <c r="C3" t="s">
        <v>71</v>
      </c>
      <c r="D3" t="s">
        <v>72</v>
      </c>
      <c r="E3" s="5">
        <v>1.4880101426400001</v>
      </c>
      <c r="F3" s="5">
        <v>1</v>
      </c>
      <c r="G3" s="5">
        <v>3E+20</v>
      </c>
      <c r="H3" s="5">
        <v>0</v>
      </c>
      <c r="I3" s="5">
        <v>1.4880101426400001</v>
      </c>
      <c r="J3" s="5">
        <v>1.4880101426400001</v>
      </c>
      <c r="K3" s="5">
        <v>0</v>
      </c>
      <c r="L3" s="5">
        <v>53.332423734005701</v>
      </c>
      <c r="M3" s="5">
        <v>655</v>
      </c>
      <c r="O3" t="s">
        <v>66</v>
      </c>
      <c r="P3" t="s">
        <v>70</v>
      </c>
      <c r="Q3" t="s">
        <v>88</v>
      </c>
      <c r="R3" t="s">
        <v>72</v>
      </c>
      <c r="S3" s="5">
        <v>9.7464664342920004E-2</v>
      </c>
      <c r="T3" s="5">
        <v>3E+20</v>
      </c>
      <c r="U3" s="5">
        <v>0</v>
      </c>
      <c r="V3" s="5">
        <v>9.7464664342920004E-2</v>
      </c>
      <c r="W3" s="5">
        <v>9.7464664342920004E-2</v>
      </c>
      <c r="X3" s="5">
        <v>0</v>
      </c>
      <c r="Y3" s="5">
        <v>1</v>
      </c>
      <c r="AA3" t="s">
        <v>114</v>
      </c>
      <c r="AB3" t="s">
        <v>114</v>
      </c>
      <c r="AC3" t="s">
        <v>114</v>
      </c>
      <c r="AD3" t="s">
        <v>114</v>
      </c>
      <c r="AE3" s="5"/>
      <c r="AF3" s="5"/>
      <c r="AG3" s="5"/>
      <c r="AH3" s="5"/>
      <c r="AI3" s="5"/>
      <c r="AK3" t="s">
        <v>66</v>
      </c>
      <c r="AL3" t="s">
        <v>98</v>
      </c>
      <c r="AM3" t="s">
        <v>99</v>
      </c>
      <c r="AN3" t="s">
        <v>100</v>
      </c>
      <c r="AO3" s="5">
        <v>644</v>
      </c>
      <c r="AP3" s="5">
        <v>4E+20</v>
      </c>
      <c r="AQ3" s="5">
        <v>0</v>
      </c>
      <c r="AR3" s="5">
        <v>644</v>
      </c>
      <c r="AS3" s="5">
        <v>644</v>
      </c>
      <c r="AU3" t="s">
        <v>114</v>
      </c>
      <c r="AV3" t="s">
        <v>114</v>
      </c>
      <c r="AW3" t="s">
        <v>114</v>
      </c>
      <c r="AX3" t="s">
        <v>114</v>
      </c>
      <c r="AY3" s="4"/>
      <c r="AZ3" s="4"/>
    </row>
    <row r="4" spans="1:52" x14ac:dyDescent="0.35">
      <c r="B4" t="s">
        <v>73</v>
      </c>
      <c r="C4" t="s">
        <v>71</v>
      </c>
      <c r="D4" t="s">
        <v>72</v>
      </c>
      <c r="E4" s="5">
        <v>2.8347265488847602</v>
      </c>
      <c r="F4" s="5">
        <v>1</v>
      </c>
      <c r="G4" s="5">
        <v>3E+20</v>
      </c>
      <c r="H4" s="5">
        <v>0</v>
      </c>
      <c r="I4" s="5">
        <v>2.8347265488847602</v>
      </c>
      <c r="J4" s="5">
        <v>2.8347265488847602</v>
      </c>
      <c r="K4" s="5">
        <v>0</v>
      </c>
      <c r="L4" s="5">
        <v>51.694082763856798</v>
      </c>
      <c r="M4" s="5">
        <v>658</v>
      </c>
      <c r="P4" t="s">
        <v>73</v>
      </c>
      <c r="Q4" t="s">
        <v>88</v>
      </c>
      <c r="R4" t="s">
        <v>72</v>
      </c>
      <c r="S4" s="5">
        <v>0.18728194652990901</v>
      </c>
      <c r="T4" s="5">
        <v>3E+20</v>
      </c>
      <c r="U4" s="5">
        <v>0</v>
      </c>
      <c r="V4" s="5">
        <v>0.18728194652990901</v>
      </c>
      <c r="W4" s="5">
        <v>0.18728194652990901</v>
      </c>
      <c r="X4" s="5">
        <v>0</v>
      </c>
      <c r="Y4" s="5">
        <v>1</v>
      </c>
      <c r="AL4" t="s">
        <v>101</v>
      </c>
      <c r="AM4" t="s">
        <v>102</v>
      </c>
      <c r="AN4" t="s">
        <v>82</v>
      </c>
      <c r="AO4" s="5">
        <v>657</v>
      </c>
      <c r="AP4" s="5">
        <v>4E+20</v>
      </c>
      <c r="AQ4" s="5">
        <v>0</v>
      </c>
      <c r="AR4" s="5">
        <v>657</v>
      </c>
      <c r="AS4" s="5">
        <v>657</v>
      </c>
    </row>
    <row r="5" spans="1:52" x14ac:dyDescent="0.35">
      <c r="B5" t="s">
        <v>74</v>
      </c>
      <c r="C5" t="s">
        <v>71</v>
      </c>
      <c r="D5" t="s">
        <v>72</v>
      </c>
      <c r="E5" s="5">
        <v>0.71106873368268697</v>
      </c>
      <c r="F5" s="5">
        <v>1</v>
      </c>
      <c r="G5" s="5">
        <v>3E+20</v>
      </c>
      <c r="H5" s="5">
        <v>0</v>
      </c>
      <c r="I5" s="5">
        <v>0.71106873368268697</v>
      </c>
      <c r="J5" s="5">
        <v>0.71106873368268697</v>
      </c>
      <c r="K5" s="5">
        <v>0</v>
      </c>
      <c r="L5" s="5">
        <v>32.737151645000303</v>
      </c>
      <c r="M5" s="5">
        <v>646</v>
      </c>
      <c r="P5" t="s">
        <v>74</v>
      </c>
      <c r="Q5" t="s">
        <v>88</v>
      </c>
      <c r="R5" t="s">
        <v>72</v>
      </c>
      <c r="S5" s="5">
        <v>4.59350401959015E-2</v>
      </c>
      <c r="T5" s="5">
        <v>1.50421451941289E-2</v>
      </c>
      <c r="U5" s="5">
        <v>0</v>
      </c>
      <c r="V5" s="5">
        <v>4.59350401959015E-2</v>
      </c>
      <c r="W5" s="5">
        <v>4.59350401959015E-2</v>
      </c>
      <c r="X5" s="5">
        <v>0</v>
      </c>
      <c r="Y5" s="5">
        <v>1</v>
      </c>
      <c r="AL5" t="s">
        <v>103</v>
      </c>
      <c r="AM5" t="s">
        <v>99</v>
      </c>
      <c r="AN5" t="s">
        <v>82</v>
      </c>
      <c r="AO5" s="5">
        <v>644</v>
      </c>
      <c r="AP5" s="5">
        <v>4E+20</v>
      </c>
      <c r="AQ5" s="5">
        <v>0</v>
      </c>
      <c r="AR5" s="5">
        <v>644</v>
      </c>
      <c r="AS5" s="5">
        <v>644</v>
      </c>
    </row>
    <row r="6" spans="1:52" x14ac:dyDescent="0.35">
      <c r="B6" t="s">
        <v>75</v>
      </c>
      <c r="C6" t="s">
        <v>71</v>
      </c>
      <c r="D6" t="s">
        <v>72</v>
      </c>
      <c r="E6" s="5">
        <v>13.3474320331564</v>
      </c>
      <c r="F6" s="5">
        <v>1</v>
      </c>
      <c r="G6" s="5">
        <v>0.68220235660712902</v>
      </c>
      <c r="H6" s="5">
        <v>0</v>
      </c>
      <c r="I6" s="5">
        <v>13.3474320331564</v>
      </c>
      <c r="J6" s="5">
        <v>13.3474320331564</v>
      </c>
      <c r="K6" s="5">
        <v>0</v>
      </c>
      <c r="L6" s="5">
        <v>61</v>
      </c>
      <c r="M6" s="5">
        <v>656</v>
      </c>
      <c r="P6" t="s">
        <v>75</v>
      </c>
      <c r="Q6" t="s">
        <v>88</v>
      </c>
      <c r="R6" t="s">
        <v>72</v>
      </c>
      <c r="S6" s="5">
        <v>0.87594827562242195</v>
      </c>
      <c r="T6" s="5">
        <v>2E+20</v>
      </c>
      <c r="U6" s="5">
        <v>0</v>
      </c>
      <c r="V6" s="5">
        <v>0.87594827562242195</v>
      </c>
      <c r="W6" s="5">
        <v>0.87594827562242195</v>
      </c>
      <c r="X6" s="5">
        <v>0</v>
      </c>
      <c r="Y6" s="5">
        <v>1</v>
      </c>
      <c r="AL6" t="s">
        <v>104</v>
      </c>
      <c r="AM6" t="s">
        <v>105</v>
      </c>
      <c r="AN6" t="s">
        <v>92</v>
      </c>
      <c r="AO6" s="5">
        <v>656</v>
      </c>
      <c r="AP6" s="5">
        <v>4E+20</v>
      </c>
      <c r="AQ6" s="5">
        <v>0</v>
      </c>
      <c r="AR6" s="5">
        <v>656</v>
      </c>
      <c r="AS6" s="5">
        <v>656</v>
      </c>
    </row>
    <row r="7" spans="1:52" x14ac:dyDescent="0.35">
      <c r="B7" t="s">
        <v>80</v>
      </c>
      <c r="C7" t="s">
        <v>81</v>
      </c>
      <c r="D7" t="s">
        <v>82</v>
      </c>
      <c r="E7" s="5">
        <v>0</v>
      </c>
      <c r="F7" s="5">
        <v>1</v>
      </c>
      <c r="G7" s="5">
        <v>0</v>
      </c>
      <c r="H7" s="5">
        <v>0</v>
      </c>
      <c r="I7" s="5">
        <v>0</v>
      </c>
      <c r="J7" s="5">
        <v>0</v>
      </c>
      <c r="K7" s="5">
        <v>0</v>
      </c>
      <c r="L7" s="5">
        <v>0</v>
      </c>
      <c r="M7" s="5">
        <v>644</v>
      </c>
      <c r="P7" t="s">
        <v>76</v>
      </c>
      <c r="Q7" t="s">
        <v>88</v>
      </c>
      <c r="R7" t="s">
        <v>72</v>
      </c>
      <c r="S7" s="5">
        <v>0.124051724377577</v>
      </c>
      <c r="T7" s="5">
        <v>2E+20</v>
      </c>
      <c r="U7" s="5">
        <v>0</v>
      </c>
      <c r="V7" s="5">
        <v>0.124051724377577</v>
      </c>
      <c r="W7" s="5">
        <v>0.124051724377577</v>
      </c>
      <c r="X7" s="5">
        <v>0</v>
      </c>
      <c r="Y7" s="5">
        <v>1</v>
      </c>
      <c r="AL7" t="s">
        <v>106</v>
      </c>
      <c r="AM7" t="s">
        <v>107</v>
      </c>
      <c r="AN7" t="s">
        <v>92</v>
      </c>
      <c r="AO7" s="5">
        <v>0.87594827562242195</v>
      </c>
      <c r="AP7" s="5">
        <v>4E+20</v>
      </c>
      <c r="AQ7" s="5">
        <v>0</v>
      </c>
      <c r="AR7" s="5">
        <v>0.87594827562242195</v>
      </c>
      <c r="AS7" s="5">
        <v>0.87594827562242195</v>
      </c>
    </row>
    <row r="8" spans="1:52" x14ac:dyDescent="0.35">
      <c r="C8" t="s">
        <v>83</v>
      </c>
      <c r="D8" t="s">
        <v>82</v>
      </c>
      <c r="E8" s="5">
        <v>45.558269435350702</v>
      </c>
      <c r="F8" s="5">
        <v>1</v>
      </c>
      <c r="G8" s="5">
        <v>0.25960386876271502</v>
      </c>
      <c r="H8" s="5">
        <v>0</v>
      </c>
      <c r="I8" s="5">
        <v>45.558269435350702</v>
      </c>
      <c r="J8" s="5">
        <v>45.558269435350702</v>
      </c>
      <c r="K8" s="5">
        <v>35.684194154314397</v>
      </c>
      <c r="L8" s="5">
        <v>58.533304422265203</v>
      </c>
      <c r="M8" s="5">
        <v>644</v>
      </c>
      <c r="P8" t="s">
        <v>77</v>
      </c>
      <c r="Q8" t="s">
        <v>88</v>
      </c>
      <c r="R8" t="s">
        <v>72</v>
      </c>
      <c r="S8" s="5">
        <v>0.66930709629346596</v>
      </c>
      <c r="T8" s="5">
        <v>3E+20</v>
      </c>
      <c r="U8" s="5">
        <v>0</v>
      </c>
      <c r="V8" s="5">
        <v>0.66930709629346596</v>
      </c>
      <c r="W8" s="5">
        <v>0.66930709629346596</v>
      </c>
      <c r="X8" s="5">
        <v>0</v>
      </c>
      <c r="Y8" s="5">
        <v>1</v>
      </c>
      <c r="AL8" t="s">
        <v>108</v>
      </c>
      <c r="AM8" t="s">
        <v>105</v>
      </c>
      <c r="AN8" t="s">
        <v>92</v>
      </c>
      <c r="AO8" s="5">
        <v>650</v>
      </c>
      <c r="AP8" s="5">
        <v>4E+20</v>
      </c>
      <c r="AQ8" s="5">
        <v>0</v>
      </c>
      <c r="AR8" s="5">
        <v>650</v>
      </c>
      <c r="AS8" s="5">
        <v>650</v>
      </c>
    </row>
    <row r="9" spans="1:52" x14ac:dyDescent="0.35">
      <c r="C9" t="s">
        <v>84</v>
      </c>
      <c r="D9" t="s">
        <v>82</v>
      </c>
      <c r="E9" s="5">
        <v>176.50454119382499</v>
      </c>
      <c r="F9" s="5">
        <v>1</v>
      </c>
      <c r="G9" s="5">
        <v>3E+20</v>
      </c>
      <c r="H9" s="5">
        <v>0</v>
      </c>
      <c r="I9" s="5">
        <v>176.50454119382499</v>
      </c>
      <c r="J9" s="5">
        <v>176.50454119382499</v>
      </c>
      <c r="K9" s="5">
        <v>66.7679529246589</v>
      </c>
      <c r="L9" s="5">
        <v>305.16506428442699</v>
      </c>
      <c r="M9" s="5">
        <v>644</v>
      </c>
      <c r="P9" t="s">
        <v>78</v>
      </c>
      <c r="Q9" t="s">
        <v>88</v>
      </c>
      <c r="R9" t="s">
        <v>72</v>
      </c>
      <c r="S9" s="5">
        <v>0.76649718504434805</v>
      </c>
      <c r="T9" s="5">
        <v>3E+20</v>
      </c>
      <c r="U9" s="5">
        <v>0</v>
      </c>
      <c r="V9" s="5">
        <v>0.76649718504434805</v>
      </c>
      <c r="W9" s="5">
        <v>0.76649718504434805</v>
      </c>
      <c r="X9" s="5">
        <v>0</v>
      </c>
      <c r="Y9" s="5">
        <v>1</v>
      </c>
      <c r="AL9" t="s">
        <v>109</v>
      </c>
      <c r="AM9" t="s">
        <v>107</v>
      </c>
      <c r="AN9" t="s">
        <v>92</v>
      </c>
      <c r="AO9" s="5">
        <v>0.77826134577488204</v>
      </c>
      <c r="AP9" s="5">
        <v>4E+20</v>
      </c>
      <c r="AQ9" s="5">
        <v>0</v>
      </c>
      <c r="AR9" s="5">
        <v>0.77826134577488204</v>
      </c>
      <c r="AS9" s="5">
        <v>0.77826134577488204</v>
      </c>
    </row>
    <row r="10" spans="1:52" x14ac:dyDescent="0.35">
      <c r="C10" t="s">
        <v>85</v>
      </c>
      <c r="D10" t="s">
        <v>82</v>
      </c>
      <c r="E10" s="5">
        <v>74.730086383538193</v>
      </c>
      <c r="F10" s="5">
        <v>1</v>
      </c>
      <c r="G10" s="5">
        <v>3E+20</v>
      </c>
      <c r="H10" s="5">
        <v>0</v>
      </c>
      <c r="I10" s="5">
        <v>74.730086383538193</v>
      </c>
      <c r="J10" s="5">
        <v>74.730086383538193</v>
      </c>
      <c r="K10" s="5">
        <v>10.988867684035499</v>
      </c>
      <c r="L10" s="5">
        <v>209</v>
      </c>
      <c r="M10" s="5">
        <v>644</v>
      </c>
      <c r="P10" t="s">
        <v>79</v>
      </c>
      <c r="Q10" t="s">
        <v>88</v>
      </c>
      <c r="R10" t="s">
        <v>72</v>
      </c>
      <c r="S10" s="5">
        <v>0.53714052397891998</v>
      </c>
      <c r="T10" s="5">
        <v>3E+20</v>
      </c>
      <c r="U10" s="5">
        <v>0</v>
      </c>
      <c r="V10" s="5">
        <v>0.53714052397891998</v>
      </c>
      <c r="W10" s="5">
        <v>0.53714052397891998</v>
      </c>
      <c r="X10" s="5">
        <v>0</v>
      </c>
      <c r="Y10" s="5">
        <v>1</v>
      </c>
      <c r="AL10" t="s">
        <v>110</v>
      </c>
      <c r="AM10" t="s">
        <v>105</v>
      </c>
      <c r="AN10" t="s">
        <v>92</v>
      </c>
      <c r="AO10" s="5">
        <v>645</v>
      </c>
      <c r="AP10" s="5">
        <v>4E+20</v>
      </c>
      <c r="AQ10" s="5">
        <v>0</v>
      </c>
      <c r="AR10" s="5">
        <v>645</v>
      </c>
      <c r="AS10" s="5">
        <v>645</v>
      </c>
    </row>
    <row r="11" spans="1:52" x14ac:dyDescent="0.35">
      <c r="C11" t="s">
        <v>86</v>
      </c>
      <c r="D11" t="s">
        <v>82</v>
      </c>
      <c r="E11" s="5">
        <v>0</v>
      </c>
      <c r="F11" s="5">
        <v>1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644</v>
      </c>
      <c r="P11" t="s">
        <v>80</v>
      </c>
      <c r="Q11" t="s">
        <v>89</v>
      </c>
      <c r="R11" t="s">
        <v>82</v>
      </c>
      <c r="S11" s="5">
        <v>11.4698408739699</v>
      </c>
      <c r="T11" s="5">
        <v>3E+20</v>
      </c>
      <c r="U11" s="5">
        <v>0</v>
      </c>
      <c r="V11" s="5">
        <v>11.4698408739699</v>
      </c>
      <c r="W11" s="5">
        <v>11.4698408739699</v>
      </c>
      <c r="X11" s="5">
        <v>0</v>
      </c>
      <c r="Y11" s="5">
        <v>19</v>
      </c>
      <c r="AL11" t="s">
        <v>111</v>
      </c>
      <c r="AM11" t="s">
        <v>107</v>
      </c>
      <c r="AN11" t="s">
        <v>92</v>
      </c>
      <c r="AO11" s="5">
        <v>0.81634011722827604</v>
      </c>
      <c r="AP11" s="5">
        <v>4E+20</v>
      </c>
      <c r="AQ11" s="5">
        <v>0</v>
      </c>
      <c r="AR11" s="5">
        <v>0.81634011722827604</v>
      </c>
      <c r="AS11" s="5">
        <v>0.81634011722827604</v>
      </c>
    </row>
    <row r="12" spans="1:52" x14ac:dyDescent="0.35">
      <c r="C12" t="s">
        <v>87</v>
      </c>
      <c r="D12" t="s">
        <v>82</v>
      </c>
      <c r="E12" s="5">
        <v>56.216185374936003</v>
      </c>
      <c r="F12" s="5">
        <v>1</v>
      </c>
      <c r="G12" s="5">
        <v>3E+20</v>
      </c>
      <c r="H12" s="5">
        <v>0</v>
      </c>
      <c r="I12" s="5">
        <v>56.216185374936003</v>
      </c>
      <c r="J12" s="5">
        <v>56.216185374936003</v>
      </c>
      <c r="K12" s="5">
        <v>10.4878435678229</v>
      </c>
      <c r="L12" s="5">
        <v>182.18700188007901</v>
      </c>
      <c r="M12" s="5">
        <v>644</v>
      </c>
      <c r="P12" t="s">
        <v>90</v>
      </c>
      <c r="Q12" t="s">
        <v>91</v>
      </c>
      <c r="R12" t="s">
        <v>92</v>
      </c>
      <c r="S12" s="5">
        <v>0.87594827562242195</v>
      </c>
      <c r="T12" s="5">
        <v>2E+20</v>
      </c>
      <c r="U12" s="5">
        <v>0</v>
      </c>
      <c r="V12" s="5">
        <v>0.87594827562242195</v>
      </c>
      <c r="W12" s="5">
        <v>0.87594827562242195</v>
      </c>
      <c r="X12" s="5">
        <v>0</v>
      </c>
      <c r="Y12" s="5">
        <v>1</v>
      </c>
      <c r="AL12" t="s">
        <v>112</v>
      </c>
      <c r="AM12" t="s">
        <v>105</v>
      </c>
      <c r="AN12" t="s">
        <v>92</v>
      </c>
      <c r="AO12" s="5">
        <v>644</v>
      </c>
      <c r="AP12" s="5">
        <v>4E+20</v>
      </c>
      <c r="AQ12" s="5">
        <v>0</v>
      </c>
      <c r="AR12" s="5">
        <v>644</v>
      </c>
      <c r="AS12" s="5">
        <v>644</v>
      </c>
    </row>
    <row r="13" spans="1:52" x14ac:dyDescent="0.35">
      <c r="B13" t="s">
        <v>76</v>
      </c>
      <c r="C13" t="s">
        <v>71</v>
      </c>
      <c r="D13" t="s">
        <v>72</v>
      </c>
      <c r="E13" s="5">
        <v>1.89103238380453</v>
      </c>
      <c r="F13" s="5">
        <v>1</v>
      </c>
      <c r="G13" s="5">
        <v>0.59793200631841203</v>
      </c>
      <c r="H13" s="5">
        <v>0</v>
      </c>
      <c r="I13" s="5">
        <v>1.89103238380453</v>
      </c>
      <c r="J13" s="5">
        <v>1.89103238380453</v>
      </c>
      <c r="K13" s="5">
        <v>0</v>
      </c>
      <c r="L13" s="5">
        <v>36.952703134354998</v>
      </c>
      <c r="M13" s="5">
        <v>656</v>
      </c>
      <c r="Q13" t="s">
        <v>93</v>
      </c>
      <c r="R13" t="s">
        <v>92</v>
      </c>
      <c r="S13" s="5">
        <v>0.87594827562242195</v>
      </c>
      <c r="T13" s="5">
        <v>2E+20</v>
      </c>
      <c r="U13" s="5">
        <v>0</v>
      </c>
      <c r="V13" s="5">
        <v>0.87594827562242195</v>
      </c>
      <c r="W13" s="5">
        <v>0.87594827562242195</v>
      </c>
      <c r="X13" s="5">
        <v>0</v>
      </c>
      <c r="Y13" s="5">
        <v>1</v>
      </c>
      <c r="AL13" t="s">
        <v>113</v>
      </c>
      <c r="AM13" t="s">
        <v>107</v>
      </c>
      <c r="AN13" t="s">
        <v>92</v>
      </c>
      <c r="AO13" s="5">
        <v>0.81353380488452598</v>
      </c>
      <c r="AP13" s="5">
        <v>4E+20</v>
      </c>
      <c r="AQ13" s="5">
        <v>0</v>
      </c>
      <c r="AR13" s="5">
        <v>0.81353380488452598</v>
      </c>
      <c r="AS13" s="5">
        <v>0.81353380488452598</v>
      </c>
    </row>
    <row r="14" spans="1:52" x14ac:dyDescent="0.35">
      <c r="B14" t="s">
        <v>77</v>
      </c>
      <c r="C14" t="s">
        <v>71</v>
      </c>
      <c r="D14" t="s">
        <v>72</v>
      </c>
      <c r="E14" s="5">
        <v>10.2761454726685</v>
      </c>
      <c r="F14" s="5">
        <v>1</v>
      </c>
      <c r="G14" s="5">
        <v>3E+20</v>
      </c>
      <c r="H14" s="5">
        <v>0</v>
      </c>
      <c r="I14" s="5">
        <v>10.2761454726685</v>
      </c>
      <c r="J14" s="5">
        <v>10.2761454726685</v>
      </c>
      <c r="K14" s="5">
        <v>0</v>
      </c>
      <c r="L14" s="5">
        <v>76.239613596303997</v>
      </c>
      <c r="M14" s="5">
        <v>650</v>
      </c>
      <c r="Q14" t="s">
        <v>94</v>
      </c>
      <c r="R14" t="s">
        <v>92</v>
      </c>
      <c r="S14" s="5">
        <v>1</v>
      </c>
      <c r="T14" s="5">
        <v>2E+20</v>
      </c>
      <c r="U14" s="5">
        <v>0</v>
      </c>
      <c r="V14" s="5">
        <v>1</v>
      </c>
      <c r="W14" s="5">
        <v>1</v>
      </c>
      <c r="X14" s="5">
        <v>1</v>
      </c>
      <c r="Y14" s="5">
        <v>1</v>
      </c>
    </row>
    <row r="15" spans="1:52" x14ac:dyDescent="0.35">
      <c r="B15" t="s">
        <v>78</v>
      </c>
      <c r="C15" t="s">
        <v>71</v>
      </c>
      <c r="D15" t="s">
        <v>72</v>
      </c>
      <c r="E15" s="5">
        <v>11.838192101540599</v>
      </c>
      <c r="F15" s="5">
        <v>1</v>
      </c>
      <c r="G15" s="5">
        <v>0.99659725094876195</v>
      </c>
      <c r="H15" s="5">
        <v>0</v>
      </c>
      <c r="I15" s="5">
        <v>11.838192101540599</v>
      </c>
      <c r="J15" s="5">
        <v>11.838192101540599</v>
      </c>
      <c r="K15" s="5">
        <v>0</v>
      </c>
      <c r="L15" s="5">
        <v>62.588332234374299</v>
      </c>
      <c r="M15" s="5">
        <v>645</v>
      </c>
      <c r="P15" t="s">
        <v>95</v>
      </c>
      <c r="Q15" t="s">
        <v>91</v>
      </c>
      <c r="R15" t="s">
        <v>92</v>
      </c>
      <c r="S15" s="5">
        <v>0.77826134577488204</v>
      </c>
      <c r="T15" s="5">
        <v>2E+20</v>
      </c>
      <c r="U15" s="5">
        <v>0</v>
      </c>
      <c r="V15" s="5">
        <v>0.77826134577488204</v>
      </c>
      <c r="W15" s="5">
        <v>0.77826134577488204</v>
      </c>
      <c r="X15" s="5">
        <v>0</v>
      </c>
      <c r="Y15" s="5">
        <v>1</v>
      </c>
    </row>
    <row r="16" spans="1:52" x14ac:dyDescent="0.35">
      <c r="B16" t="s">
        <v>79</v>
      </c>
      <c r="C16" t="s">
        <v>71</v>
      </c>
      <c r="D16" t="s">
        <v>72</v>
      </c>
      <c r="E16" s="5">
        <v>8.3406913661322903</v>
      </c>
      <c r="F16" s="5">
        <v>1</v>
      </c>
      <c r="G16" s="5">
        <v>3E+20</v>
      </c>
      <c r="H16" s="5">
        <v>0</v>
      </c>
      <c r="I16" s="5">
        <v>8.3406913661322903</v>
      </c>
      <c r="J16" s="5">
        <v>8.3406913661322903</v>
      </c>
      <c r="K16" s="5">
        <v>0</v>
      </c>
      <c r="L16" s="5">
        <v>55.224362033730401</v>
      </c>
      <c r="M16" s="5">
        <v>644</v>
      </c>
      <c r="Q16" t="s">
        <v>93</v>
      </c>
      <c r="R16" t="s">
        <v>92</v>
      </c>
      <c r="S16" s="5">
        <v>0.77826134577488204</v>
      </c>
      <c r="T16" s="5">
        <v>2E+20</v>
      </c>
      <c r="U16" s="5">
        <v>0</v>
      </c>
      <c r="V16" s="5">
        <v>0.77826134577488204</v>
      </c>
      <c r="W16" s="5">
        <v>0.77826134577488204</v>
      </c>
      <c r="X16" s="5">
        <v>0</v>
      </c>
      <c r="Y16" s="5">
        <v>1</v>
      </c>
    </row>
    <row r="17" spans="16:25" x14ac:dyDescent="0.35">
      <c r="Q17" t="s">
        <v>94</v>
      </c>
      <c r="R17" t="s">
        <v>92</v>
      </c>
      <c r="S17" s="5">
        <v>1</v>
      </c>
      <c r="T17" s="5">
        <v>2E+20</v>
      </c>
      <c r="U17" s="5">
        <v>0</v>
      </c>
      <c r="V17" s="5">
        <v>1</v>
      </c>
      <c r="W17" s="5">
        <v>1</v>
      </c>
      <c r="X17" s="5">
        <v>1</v>
      </c>
      <c r="Y17" s="5">
        <v>1</v>
      </c>
    </row>
    <row r="18" spans="16:25" x14ac:dyDescent="0.35">
      <c r="P18" t="s">
        <v>96</v>
      </c>
      <c r="Q18" t="s">
        <v>91</v>
      </c>
      <c r="R18" t="s">
        <v>92</v>
      </c>
      <c r="S18" s="5">
        <v>0.81634011722827604</v>
      </c>
      <c r="T18" s="5">
        <v>2E+20</v>
      </c>
      <c r="U18" s="5">
        <v>0</v>
      </c>
      <c r="V18" s="5">
        <v>0.81634011722827604</v>
      </c>
      <c r="W18" s="5">
        <v>0.81634011722827604</v>
      </c>
      <c r="X18" s="5">
        <v>0</v>
      </c>
      <c r="Y18" s="5">
        <v>1</v>
      </c>
    </row>
    <row r="19" spans="16:25" x14ac:dyDescent="0.35">
      <c r="Q19" t="s">
        <v>93</v>
      </c>
      <c r="R19" t="s">
        <v>92</v>
      </c>
      <c r="S19" s="5">
        <v>0.81634011722827604</v>
      </c>
      <c r="T19" s="5">
        <v>2E+20</v>
      </c>
      <c r="U19" s="5">
        <v>0</v>
      </c>
      <c r="V19" s="5">
        <v>0.81634011722827604</v>
      </c>
      <c r="W19" s="5">
        <v>0.81634011722827604</v>
      </c>
      <c r="X19" s="5">
        <v>0</v>
      </c>
      <c r="Y19" s="5">
        <v>1</v>
      </c>
    </row>
    <row r="20" spans="16:25" x14ac:dyDescent="0.35">
      <c r="Q20" t="s">
        <v>94</v>
      </c>
      <c r="R20" t="s">
        <v>92</v>
      </c>
      <c r="S20" s="5">
        <v>1</v>
      </c>
      <c r="T20" s="5">
        <v>2E+20</v>
      </c>
      <c r="U20" s="5">
        <v>0</v>
      </c>
      <c r="V20" s="5">
        <v>1</v>
      </c>
      <c r="W20" s="5">
        <v>1</v>
      </c>
      <c r="X20" s="5">
        <v>1</v>
      </c>
      <c r="Y20" s="5">
        <v>1</v>
      </c>
    </row>
    <row r="21" spans="16:25" x14ac:dyDescent="0.35">
      <c r="P21" t="s">
        <v>97</v>
      </c>
      <c r="Q21" t="s">
        <v>91</v>
      </c>
      <c r="R21" t="s">
        <v>92</v>
      </c>
      <c r="S21" s="5">
        <v>0.81353380488452598</v>
      </c>
      <c r="T21" s="5">
        <v>2E+20</v>
      </c>
      <c r="U21" s="5">
        <v>0</v>
      </c>
      <c r="V21" s="5">
        <v>0.81353380488452598</v>
      </c>
      <c r="W21" s="5">
        <v>0.81353380488452598</v>
      </c>
      <c r="X21" s="5">
        <v>0</v>
      </c>
      <c r="Y21" s="5">
        <v>1</v>
      </c>
    </row>
    <row r="22" spans="16:25" x14ac:dyDescent="0.35">
      <c r="Q22" t="s">
        <v>93</v>
      </c>
      <c r="R22" t="s">
        <v>92</v>
      </c>
      <c r="S22" s="5">
        <v>0.81353380488452598</v>
      </c>
      <c r="T22" s="5">
        <v>2E+20</v>
      </c>
      <c r="U22" s="5">
        <v>0</v>
      </c>
      <c r="V22" s="5">
        <v>0.81353380488452598</v>
      </c>
      <c r="W22" s="5">
        <v>0.81353380488452598</v>
      </c>
      <c r="X22" s="5">
        <v>0</v>
      </c>
      <c r="Y22" s="5">
        <v>1</v>
      </c>
    </row>
    <row r="23" spans="16:25" x14ac:dyDescent="0.35">
      <c r="Q23" t="s">
        <v>94</v>
      </c>
      <c r="R23" t="s">
        <v>92</v>
      </c>
      <c r="S23" s="5">
        <v>1</v>
      </c>
      <c r="T23" s="5">
        <v>2E+20</v>
      </c>
      <c r="U23" s="5">
        <v>0</v>
      </c>
      <c r="V23" s="5">
        <v>1</v>
      </c>
      <c r="W23" s="5">
        <v>1</v>
      </c>
      <c r="X23" s="5">
        <v>1</v>
      </c>
      <c r="Y23" s="5">
        <v>1</v>
      </c>
    </row>
  </sheetData>
  <dataConsolidate/>
  <conditionalFormatting pivot="1" sqref="G3:G16">
    <cfRule type="expression" dxfId="31" priority="14">
      <formula>G3=200000000000000000000</formula>
    </cfRule>
  </conditionalFormatting>
  <conditionalFormatting pivot="1" sqref="T3:T23">
    <cfRule type="expression" dxfId="30" priority="13">
      <formula>T3=200000000000000000000</formula>
    </cfRule>
  </conditionalFormatting>
  <conditionalFormatting pivot="1" sqref="T3:T23">
    <cfRule type="expression" dxfId="29" priority="12">
      <formula>T3=300000000000000000000</formula>
    </cfRule>
  </conditionalFormatting>
  <conditionalFormatting pivot="1" sqref="G3:G16">
    <cfRule type="expression" dxfId="28" priority="11">
      <formula>G3=300000000000000000000</formula>
    </cfRule>
  </conditionalFormatting>
  <conditionalFormatting pivot="1" sqref="F3:F16">
    <cfRule type="expression" dxfId="27" priority="10">
      <formula>F3=0</formula>
    </cfRule>
  </conditionalFormatting>
  <conditionalFormatting pivot="1" sqref="F3:F16">
    <cfRule type="expression" dxfId="26" priority="9">
      <formula>F3=1</formula>
    </cfRule>
  </conditionalFormatting>
  <conditionalFormatting pivot="1" sqref="T3:T23">
    <cfRule type="expression" dxfId="25" priority="8">
      <formula>T3=400000000000000000000</formula>
    </cfRule>
  </conditionalFormatting>
  <conditionalFormatting pivot="1" sqref="AP3:AP13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16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15"/>
  <sheetViews>
    <sheetView workbookViewId="0">
      <selection activeCell="A2" sqref="A2:K6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12.36328125" bestFit="1" customWidth="1"/>
    <col min="6" max="6" width="8.7265625" bestFit="1" customWidth="1"/>
    <col min="7" max="7" width="11.81640625" bestFit="1" customWidth="1"/>
    <col min="8" max="8" width="22.1796875" bestFit="1" customWidth="1"/>
    <col min="9" max="10" width="11.81640625" bestFit="1" customWidth="1"/>
    <col min="11" max="11" width="21.1796875" bestFit="1" customWidth="1"/>
    <col min="12" max="12" width="47.7265625" bestFit="1" customWidth="1"/>
    <col min="13" max="13" width="16.08984375" bestFit="1" customWidth="1"/>
    <col min="14" max="14" width="18.6328125" bestFit="1" customWidth="1"/>
    <col min="15" max="15" width="16.7265625" bestFit="1" customWidth="1"/>
    <col min="16" max="16" width="19" bestFit="1" customWidth="1"/>
    <col min="17" max="17" width="11.6328125" bestFit="1" customWidth="1"/>
    <col min="18" max="18" width="18" bestFit="1" customWidth="1"/>
    <col min="19" max="19" width="18.36328125" bestFit="1" customWidth="1"/>
    <col min="20" max="20" width="17.1796875" bestFit="1" customWidth="1"/>
    <col min="21" max="21" width="17.54296875" bestFit="1" customWidth="1"/>
    <col min="22" max="22" width="28.08984375" bestFit="1" customWidth="1"/>
    <col min="23" max="23" width="19.7265625" bestFit="1" customWidth="1"/>
    <col min="24" max="24" width="22.7265625" bestFit="1" customWidth="1"/>
    <col min="25" max="25" width="21.1796875" bestFit="1" customWidth="1"/>
  </cols>
  <sheetData>
    <row r="1" spans="1:2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5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1.4880101426400001</v>
      </c>
      <c r="H2">
        <v>3E+20</v>
      </c>
      <c r="I2">
        <v>0</v>
      </c>
      <c r="J2">
        <v>53.332423734005701</v>
      </c>
      <c r="K2">
        <v>655</v>
      </c>
      <c r="L2" t="str">
        <f>DiscreteStatsTable[[#This Row],[ProjectName]]&amp;DiscreteStatsTable[[#This Row],[Name]]&amp;DiscreteStatsTable[[#This Row],[Type]]&amp;DiscreteStatsTable[[#This Row],[Source]]</f>
        <v>Unnamed ProjectAccess ws1.QueueWaiting TimeQueue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1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1.4880101426400001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2" cm="1">
        <f t="array" ref="R2">MIN(IF((DiscreteStatsTable[GroupByKey]=DiscreteStatsTable[[#This Row],[GroupByKey]]),(DiscreteStatsTable[GroupByKey]=DiscreteStatsTable[[#This Row],[GroupByKey]])*DiscreteStatsTable[Average]))</f>
        <v>1.4880101426400001</v>
      </c>
      <c r="S2" cm="1">
        <f t="array" ref="S2">MAX(IF((DiscreteStatsTable[GroupByKey]=DiscreteStatsTable[[#This Row],[GroupByKey]]),(DiscreteStatsTable[GroupByKey]=DiscreteStatsTable[[#This Row],[GroupByKey]])*DiscreteStatsTable[Average]))</f>
        <v>1.4880101426400001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53.332423734005701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655</v>
      </c>
      <c r="W2">
        <f>IF((DiscreteStatsTable[[#This Row],[RepsRequested]]&gt;1),DiscreteStatsTable[[#This Row],[HalfWidth]],DiscreteStatsTable[[#This Row],[BatchMeansHalfWidth]])</f>
        <v>3E+20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1</v>
      </c>
      <c r="Y2">
        <f>IF(DiscreteStatsTable[[#This Row],[RepsRequested]]=DiscreteStatsTable[[#This Row],[RepsWithStatObserved]],1,0)</f>
        <v>1</v>
      </c>
    </row>
    <row r="3" spans="1:25" x14ac:dyDescent="0.35">
      <c r="A3" t="s">
        <v>66</v>
      </c>
      <c r="B3" t="s">
        <v>69</v>
      </c>
      <c r="C3">
        <v>1</v>
      </c>
      <c r="D3" t="s">
        <v>73</v>
      </c>
      <c r="E3" t="s">
        <v>71</v>
      </c>
      <c r="F3" t="s">
        <v>72</v>
      </c>
      <c r="G3">
        <v>2.8347265488847602</v>
      </c>
      <c r="H3">
        <v>3E+20</v>
      </c>
      <c r="I3">
        <v>0</v>
      </c>
      <c r="J3">
        <v>51.694082763856798</v>
      </c>
      <c r="K3">
        <v>658</v>
      </c>
      <c r="L3" t="str">
        <f>DiscreteStatsTable[[#This Row],[ProjectName]]&amp;DiscreteStatsTable[[#This Row],[Name]]&amp;DiscreteStatsTable[[#This Row],[Type]]&amp;DiscreteStatsTable[[#This Row],[Source]]</f>
        <v>Unnamed ProjectAccess ws2.QueueWaiting TimeQueue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1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2.8347265488847602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3" cm="1">
        <f t="array" ref="R3">MIN(IF((DiscreteStatsTable[GroupByKey]=DiscreteStatsTable[[#This Row],[GroupByKey]]),(DiscreteStatsTable[GroupByKey]=DiscreteStatsTable[[#This Row],[GroupByKey]])*DiscreteStatsTable[Average]))</f>
        <v>2.8347265488847602</v>
      </c>
      <c r="S3" cm="1">
        <f t="array" ref="S3">MAX(IF((DiscreteStatsTable[GroupByKey]=DiscreteStatsTable[[#This Row],[GroupByKey]]),(DiscreteStatsTable[GroupByKey]=DiscreteStatsTable[[#This Row],[GroupByKey]])*DiscreteStatsTable[Average]))</f>
        <v>2.8347265488847602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51.694082763856798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658</v>
      </c>
      <c r="W3">
        <f>IF((DiscreteStatsTable[[#This Row],[RepsRequested]]&gt;1),DiscreteStatsTable[[#This Row],[HalfWidth]],DiscreteStatsTable[[#This Row],[BatchMeansHalfWidth]])</f>
        <v>3E+20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1</v>
      </c>
      <c r="Y3">
        <f>IF(DiscreteStatsTable[[#This Row],[RepsRequested]]=DiscreteStatsTable[[#This Row],[RepsWithStatObserved]],1,0)</f>
        <v>1</v>
      </c>
    </row>
    <row r="4" spans="1:25" x14ac:dyDescent="0.35">
      <c r="A4" t="s">
        <v>66</v>
      </c>
      <c r="B4" t="s">
        <v>69</v>
      </c>
      <c r="C4">
        <v>1</v>
      </c>
      <c r="D4" t="s">
        <v>74</v>
      </c>
      <c r="E4" t="s">
        <v>71</v>
      </c>
      <c r="F4" t="s">
        <v>72</v>
      </c>
      <c r="G4">
        <v>0.71106873368268697</v>
      </c>
      <c r="H4">
        <v>3E+20</v>
      </c>
      <c r="I4">
        <v>0</v>
      </c>
      <c r="J4">
        <v>32.737151645000303</v>
      </c>
      <c r="K4">
        <v>646</v>
      </c>
      <c r="L4" t="str">
        <f>DiscreteStatsTable[[#This Row],[ProjectName]]&amp;DiscreteStatsTable[[#This Row],[Name]]&amp;DiscreteStatsTable[[#This Row],[Type]]&amp;DiscreteStatsTable[[#This Row],[Source]]</f>
        <v>Unnamed ProjectAccess ws3.QueueWaiting TimeQueue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1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0.71106873368268697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0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4" cm="1">
        <f t="array" ref="R4">MIN(IF((DiscreteStatsTable[GroupByKey]=DiscreteStatsTable[[#This Row],[GroupByKey]]),(DiscreteStatsTable[GroupByKey]=DiscreteStatsTable[[#This Row],[GroupByKey]])*DiscreteStatsTable[Average]))</f>
        <v>0.71106873368268697</v>
      </c>
      <c r="S4" cm="1">
        <f t="array" ref="S4">MAX(IF((DiscreteStatsTable[GroupByKey]=DiscreteStatsTable[[#This Row],[GroupByKey]]),(DiscreteStatsTable[GroupByKey]=DiscreteStatsTable[[#This Row],[GroupByKey]])*DiscreteStatsTable[Average]))</f>
        <v>0.71106873368268697</v>
      </c>
      <c r="T4" cm="1">
        <f t="array" ref="T4">MIN(IF((DiscreteStatsTable[GroupByKey]=DiscreteStatsTable[[#This Row],[GroupByKey]]),(DiscreteStatsTable[GroupByKey]=DiscreteStatsTable[[#This Row],[GroupByKey]])*DiscreteStatsTable[Minimum]))</f>
        <v>0</v>
      </c>
      <c r="U4" cm="1">
        <f t="array" ref="U4">MAX(IF((DiscreteStatsTable[GroupByKey]=DiscreteStatsTable[[#This Row],[GroupByKey]]),(DiscreteStatsTable[GroupByKey]=DiscreteStatsTable[[#This Row],[GroupByKey]])*DiscreteStatsTable[Maximum]))</f>
        <v>32.737151645000303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646</v>
      </c>
      <c r="W4">
        <f>IF((DiscreteStatsTable[[#This Row],[RepsRequested]]&gt;1),DiscreteStatsTable[[#This Row],[HalfWidth]],DiscreteStatsTable[[#This Row],[BatchMeansHalfWidth]])</f>
        <v>3E+20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1</v>
      </c>
      <c r="Y4">
        <f>IF(DiscreteStatsTable[[#This Row],[RepsRequested]]=DiscreteStatsTable[[#This Row],[RepsWithStatObserved]],1,0)</f>
        <v>1</v>
      </c>
    </row>
    <row r="5" spans="1:25" x14ac:dyDescent="0.35">
      <c r="A5" t="s">
        <v>66</v>
      </c>
      <c r="B5" t="s">
        <v>69</v>
      </c>
      <c r="C5">
        <v>1</v>
      </c>
      <c r="D5" t="s">
        <v>75</v>
      </c>
      <c r="E5" t="s">
        <v>71</v>
      </c>
      <c r="F5" t="s">
        <v>72</v>
      </c>
      <c r="G5">
        <v>13.3474320331564</v>
      </c>
      <c r="H5">
        <v>0.68220235660712902</v>
      </c>
      <c r="I5">
        <v>0</v>
      </c>
      <c r="J5">
        <v>61</v>
      </c>
      <c r="K5">
        <v>656</v>
      </c>
      <c r="L5" t="str">
        <f>DiscreteStatsTable[[#This Row],[ProjectName]]&amp;DiscreteStatsTable[[#This Row],[Name]]&amp;DiscreteStatsTable[[#This Row],[Type]]&amp;DiscreteStatsTable[[#This Row],[Source]]</f>
        <v>Unnamed ProjectHold.QueueWaiting TimeQueue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1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13.3474320331564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5" cm="1">
        <f t="array" ref="R5">MIN(IF((DiscreteStatsTable[GroupByKey]=DiscreteStatsTable[[#This Row],[GroupByKey]]),(DiscreteStatsTable[GroupByKey]=DiscreteStatsTable[[#This Row],[GroupByKey]])*DiscreteStatsTable[Average]))</f>
        <v>13.3474320331564</v>
      </c>
      <c r="S5" cm="1">
        <f t="array" ref="S5">MAX(IF((DiscreteStatsTable[GroupByKey]=DiscreteStatsTable[[#This Row],[GroupByKey]]),(DiscreteStatsTable[GroupByKey]=DiscreteStatsTable[[#This Row],[GroupByKey]])*DiscreteStatsTable[Average]))</f>
        <v>13.3474320331564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61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656</v>
      </c>
      <c r="W5">
        <f>IF((DiscreteStatsTable[[#This Row],[RepsRequested]]&gt;1),DiscreteStatsTable[[#This Row],[HalfWidth]],DiscreteStatsTable[[#This Row],[BatchMeansHalfWidth]])</f>
        <v>0.68220235660712902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1</v>
      </c>
      <c r="Y5">
        <f>IF(DiscreteStatsTable[[#This Row],[RepsRequested]]=DiscreteStatsTable[[#This Row],[RepsWithStatObserved]],1,0)</f>
        <v>1</v>
      </c>
    </row>
    <row r="6" spans="1:25" x14ac:dyDescent="0.35">
      <c r="A6" t="s">
        <v>66</v>
      </c>
      <c r="B6" t="s">
        <v>69</v>
      </c>
      <c r="C6">
        <v>1</v>
      </c>
      <c r="D6" t="s">
        <v>80</v>
      </c>
      <c r="E6" t="s">
        <v>81</v>
      </c>
      <c r="F6" t="s">
        <v>82</v>
      </c>
      <c r="G6">
        <v>0</v>
      </c>
      <c r="H6">
        <v>0</v>
      </c>
      <c r="I6">
        <v>0</v>
      </c>
      <c r="J6">
        <v>0</v>
      </c>
      <c r="K6">
        <v>644</v>
      </c>
      <c r="L6" t="str">
        <f>DiscreteStatsTable[[#This Row],[ProjectName]]&amp;DiscreteStatsTable[[#This Row],[Name]]&amp;DiscreteStatsTable[[#This Row],[Type]]&amp;DiscreteStatsTable[[#This Row],[Source]]</f>
        <v>Unnamed ProjectproductNVA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1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0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0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6" cm="1">
        <f t="array" ref="R6">MIN(IF((DiscreteStatsTable[GroupByKey]=DiscreteStatsTable[[#This Row],[GroupByKey]]),(DiscreteStatsTable[GroupByKey]=DiscreteStatsTable[[#This Row],[GroupByKey]])*DiscreteStatsTable[Average]))</f>
        <v>0</v>
      </c>
      <c r="S6" cm="1">
        <f t="array" ref="S6">MAX(IF((DiscreteStatsTable[GroupByKey]=DiscreteStatsTable[[#This Row],[GroupByKey]]),(DiscreteStatsTable[GroupByKey]=DiscreteStatsTable[[#This Row],[GroupByKey]])*DiscreteStatsTable[Average]))</f>
        <v>0</v>
      </c>
      <c r="T6" cm="1">
        <f t="array" ref="T6">MIN(IF((DiscreteStatsTable[GroupByKey]=DiscreteStatsTable[[#This Row],[GroupByKey]]),(DiscreteStatsTable[GroupByKey]=DiscreteStatsTable[[#This Row],[GroupByKey]])*DiscreteStatsTable[Minimum]))</f>
        <v>0</v>
      </c>
      <c r="U6" cm="1">
        <f t="array" ref="U6">MAX(IF((DiscreteStatsTable[GroupByKey]=DiscreteStatsTable[[#This Row],[GroupByKey]]),(DiscreteStatsTable[GroupByKey]=DiscreteStatsTable[[#This Row],[GroupByKey]])*DiscreteStatsTable[Maximum]))</f>
        <v>0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644</v>
      </c>
      <c r="W6">
        <f>IF((DiscreteStatsTable[[#This Row],[RepsRequested]]&gt;1),DiscreteStatsTable[[#This Row],[HalfWidth]],DiscreteStatsTable[[#This Row],[BatchMeansHalfWidth]])</f>
        <v>0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1</v>
      </c>
      <c r="Y6">
        <f>IF(DiscreteStatsTable[[#This Row],[RepsRequested]]=DiscreteStatsTable[[#This Row],[RepsWithStatObserved]],1,0)</f>
        <v>1</v>
      </c>
    </row>
    <row r="7" spans="1:25" x14ac:dyDescent="0.35">
      <c r="A7" t="s">
        <v>66</v>
      </c>
      <c r="B7" t="s">
        <v>69</v>
      </c>
      <c r="C7">
        <v>1</v>
      </c>
      <c r="D7" t="s">
        <v>80</v>
      </c>
      <c r="E7" t="s">
        <v>83</v>
      </c>
      <c r="F7" t="s">
        <v>82</v>
      </c>
      <c r="G7">
        <v>45.558269435350702</v>
      </c>
      <c r="H7">
        <v>0.25960386876271502</v>
      </c>
      <c r="I7">
        <v>35.684194154314397</v>
      </c>
      <c r="J7">
        <v>58.533304422265203</v>
      </c>
      <c r="K7">
        <v>644</v>
      </c>
      <c r="L7" t="str">
        <f>DiscreteStatsTable[[#This Row],[ProjectName]]&amp;DiscreteStatsTable[[#This Row],[Name]]&amp;DiscreteStatsTable[[#This Row],[Type]]&amp;DiscreteStatsTable[[#This Row],[Source]]</f>
        <v>Unnamed ProjectproductOther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1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45.558269435350702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7" cm="1">
        <f t="array" ref="R7">MIN(IF((DiscreteStatsTable[GroupByKey]=DiscreteStatsTable[[#This Row],[GroupByKey]]),(DiscreteStatsTable[GroupByKey]=DiscreteStatsTable[[#This Row],[GroupByKey]])*DiscreteStatsTable[Average]))</f>
        <v>45.558269435350702</v>
      </c>
      <c r="S7" cm="1">
        <f t="array" ref="S7">MAX(IF((DiscreteStatsTable[GroupByKey]=DiscreteStatsTable[[#This Row],[GroupByKey]]),(DiscreteStatsTable[GroupByKey]=DiscreteStatsTable[[#This Row],[GroupByKey]])*DiscreteStatsTable[Average]))</f>
        <v>45.558269435350702</v>
      </c>
      <c r="T7" cm="1">
        <f t="array" ref="T7">MIN(IF((DiscreteStatsTable[GroupByKey]=DiscreteStatsTable[[#This Row],[GroupByKey]]),(DiscreteStatsTable[GroupByKey]=DiscreteStatsTable[[#This Row],[GroupByKey]])*DiscreteStatsTable[Minimum]))</f>
        <v>35.684194154314397</v>
      </c>
      <c r="U7" cm="1">
        <f t="array" ref="U7">MAX(IF((DiscreteStatsTable[GroupByKey]=DiscreteStatsTable[[#This Row],[GroupByKey]]),(DiscreteStatsTable[GroupByKey]=DiscreteStatsTable[[#This Row],[GroupByKey]])*DiscreteStatsTable[Maximum]))</f>
        <v>58.533304422265203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644</v>
      </c>
      <c r="W7">
        <f>IF((DiscreteStatsTable[[#This Row],[RepsRequested]]&gt;1),DiscreteStatsTable[[#This Row],[HalfWidth]],DiscreteStatsTable[[#This Row],[BatchMeansHalfWidth]])</f>
        <v>0.25960386876271502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1</v>
      </c>
      <c r="Y7">
        <f>IF(DiscreteStatsTable[[#This Row],[RepsRequested]]=DiscreteStatsTable[[#This Row],[RepsWithStatObserved]],1,0)</f>
        <v>1</v>
      </c>
    </row>
    <row r="8" spans="1:25" x14ac:dyDescent="0.35">
      <c r="A8" t="s">
        <v>66</v>
      </c>
      <c r="B8" t="s">
        <v>69</v>
      </c>
      <c r="C8">
        <v>1</v>
      </c>
      <c r="D8" t="s">
        <v>80</v>
      </c>
      <c r="E8" t="s">
        <v>84</v>
      </c>
      <c r="F8" t="s">
        <v>82</v>
      </c>
      <c r="G8">
        <v>176.50454119382499</v>
      </c>
      <c r="H8">
        <v>3E+20</v>
      </c>
      <c r="I8">
        <v>66.7679529246589</v>
      </c>
      <c r="J8">
        <v>305.16506428442699</v>
      </c>
      <c r="K8">
        <v>644</v>
      </c>
      <c r="L8" t="str">
        <f>DiscreteStatsTable[[#This Row],[ProjectName]]&amp;DiscreteStatsTable[[#This Row],[Name]]&amp;DiscreteStatsTable[[#This Row],[Type]]&amp;DiscreteStatsTable[[#This Row],[Source]]</f>
        <v>Unnamed ProjectproductTotal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1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176.50454119382499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8" cm="1">
        <f t="array" ref="R8">MIN(IF((DiscreteStatsTable[GroupByKey]=DiscreteStatsTable[[#This Row],[GroupByKey]]),(DiscreteStatsTable[GroupByKey]=DiscreteStatsTable[[#This Row],[GroupByKey]])*DiscreteStatsTable[Average]))</f>
        <v>176.50454119382499</v>
      </c>
      <c r="S8" cm="1">
        <f t="array" ref="S8">MAX(IF((DiscreteStatsTable[GroupByKey]=DiscreteStatsTable[[#This Row],[GroupByKey]]),(DiscreteStatsTable[GroupByKey]=DiscreteStatsTable[[#This Row],[GroupByKey]])*DiscreteStatsTable[Average]))</f>
        <v>176.50454119382499</v>
      </c>
      <c r="T8" cm="1">
        <f t="array" ref="T8">MIN(IF((DiscreteStatsTable[GroupByKey]=DiscreteStatsTable[[#This Row],[GroupByKey]]),(DiscreteStatsTable[GroupByKey]=DiscreteStatsTable[[#This Row],[GroupByKey]])*DiscreteStatsTable[Minimum]))</f>
        <v>66.7679529246589</v>
      </c>
      <c r="U8" cm="1">
        <f t="array" ref="U8">MAX(IF((DiscreteStatsTable[GroupByKey]=DiscreteStatsTable[[#This Row],[GroupByKey]]),(DiscreteStatsTable[GroupByKey]=DiscreteStatsTable[[#This Row],[GroupByKey]])*DiscreteStatsTable[Maximum]))</f>
        <v>305.16506428442699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644</v>
      </c>
      <c r="W8">
        <f>IF((DiscreteStatsTable[[#This Row],[RepsRequested]]&gt;1),DiscreteStatsTable[[#This Row],[HalfWidth]],DiscreteStatsTable[[#This Row],[BatchMeansHalfWidth]])</f>
        <v>3E+20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1</v>
      </c>
      <c r="Y8">
        <f>IF(DiscreteStatsTable[[#This Row],[RepsRequested]]=DiscreteStatsTable[[#This Row],[RepsWithStatObserved]],1,0)</f>
        <v>1</v>
      </c>
    </row>
    <row r="9" spans="1:25" x14ac:dyDescent="0.35">
      <c r="A9" t="s">
        <v>66</v>
      </c>
      <c r="B9" t="s">
        <v>69</v>
      </c>
      <c r="C9">
        <v>1</v>
      </c>
      <c r="D9" t="s">
        <v>80</v>
      </c>
      <c r="E9" t="s">
        <v>85</v>
      </c>
      <c r="F9" t="s">
        <v>82</v>
      </c>
      <c r="G9">
        <v>74.730086383538193</v>
      </c>
      <c r="H9">
        <v>3E+20</v>
      </c>
      <c r="I9">
        <v>10.988867684035499</v>
      </c>
      <c r="J9">
        <v>209</v>
      </c>
      <c r="K9">
        <v>644</v>
      </c>
      <c r="L9" t="str">
        <f>DiscreteStatsTable[[#This Row],[ProjectName]]&amp;DiscreteStatsTable[[#This Row],[Name]]&amp;DiscreteStatsTable[[#This Row],[Type]]&amp;DiscreteStatsTable[[#This Row],[Source]]</f>
        <v>Unnamed ProjectproductTransfer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1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74.730086383538193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9" cm="1">
        <f t="array" ref="R9">MIN(IF((DiscreteStatsTable[GroupByKey]=DiscreteStatsTable[[#This Row],[GroupByKey]]),(DiscreteStatsTable[GroupByKey]=DiscreteStatsTable[[#This Row],[GroupByKey]])*DiscreteStatsTable[Average]))</f>
        <v>74.730086383538193</v>
      </c>
      <c r="S9" cm="1">
        <f t="array" ref="S9">MAX(IF((DiscreteStatsTable[GroupByKey]=DiscreteStatsTable[[#This Row],[GroupByKey]]),(DiscreteStatsTable[GroupByKey]=DiscreteStatsTable[[#This Row],[GroupByKey]])*DiscreteStatsTable[Average]))</f>
        <v>74.730086383538193</v>
      </c>
      <c r="T9" cm="1">
        <f t="array" ref="T9">MIN(IF((DiscreteStatsTable[GroupByKey]=DiscreteStatsTable[[#This Row],[GroupByKey]]),(DiscreteStatsTable[GroupByKey]=DiscreteStatsTable[[#This Row],[GroupByKey]])*DiscreteStatsTable[Minimum]))</f>
        <v>10.988867684035499</v>
      </c>
      <c r="U9" cm="1">
        <f t="array" ref="U9">MAX(IF((DiscreteStatsTable[GroupByKey]=DiscreteStatsTable[[#This Row],[GroupByKey]]),(DiscreteStatsTable[GroupByKey]=DiscreteStatsTable[[#This Row],[GroupByKey]])*DiscreteStatsTable[Maximum]))</f>
        <v>209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644</v>
      </c>
      <c r="W9">
        <f>IF((DiscreteStatsTable[[#This Row],[RepsRequested]]&gt;1),DiscreteStatsTable[[#This Row],[HalfWidth]],DiscreteStatsTable[[#This Row],[BatchMeansHalfWidth]])</f>
        <v>3E+20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1</v>
      </c>
      <c r="Y9">
        <f>IF(DiscreteStatsTable[[#This Row],[RepsRequested]]=DiscreteStatsTable[[#This Row],[RepsWithStatObserved]],1,0)</f>
        <v>1</v>
      </c>
    </row>
    <row r="10" spans="1:25" x14ac:dyDescent="0.35">
      <c r="A10" t="s">
        <v>66</v>
      </c>
      <c r="B10" t="s">
        <v>69</v>
      </c>
      <c r="C10">
        <v>1</v>
      </c>
      <c r="D10" t="s">
        <v>80</v>
      </c>
      <c r="E10" t="s">
        <v>86</v>
      </c>
      <c r="F10" t="s">
        <v>82</v>
      </c>
      <c r="G10">
        <v>0</v>
      </c>
      <c r="H10">
        <v>0</v>
      </c>
      <c r="I10">
        <v>0</v>
      </c>
      <c r="J10">
        <v>0</v>
      </c>
      <c r="K10">
        <v>644</v>
      </c>
      <c r="L10" t="str">
        <f>DiscreteStatsTable[[#This Row],[ProjectName]]&amp;DiscreteStatsTable[[#This Row],[Name]]&amp;DiscreteStatsTable[[#This Row],[Type]]&amp;DiscreteStatsTable[[#This Row],[Source]]</f>
        <v>Unnamed ProjectproductVA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1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0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0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0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0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0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644</v>
      </c>
      <c r="W10">
        <f>IF((DiscreteStatsTable[[#This Row],[RepsRequested]]&gt;1),DiscreteStatsTable[[#This Row],[HalfWidth]],DiscreteStatsTable[[#This Row],[BatchMeansHalfWidth]])</f>
        <v>0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1</v>
      </c>
      <c r="Y10">
        <f>IF(DiscreteStatsTable[[#This Row],[RepsRequested]]=DiscreteStatsTable[[#This Row],[RepsWithStatObserved]],1,0)</f>
        <v>1</v>
      </c>
    </row>
    <row r="11" spans="1:25" x14ac:dyDescent="0.35">
      <c r="A11" t="s">
        <v>66</v>
      </c>
      <c r="B11" t="s">
        <v>69</v>
      </c>
      <c r="C11">
        <v>1</v>
      </c>
      <c r="D11" t="s">
        <v>80</v>
      </c>
      <c r="E11" t="s">
        <v>87</v>
      </c>
      <c r="F11" t="s">
        <v>82</v>
      </c>
      <c r="G11">
        <v>56.216185374936003</v>
      </c>
      <c r="H11">
        <v>3E+20</v>
      </c>
      <c r="I11">
        <v>10.4878435678229</v>
      </c>
      <c r="J11">
        <v>182.18700188007901</v>
      </c>
      <c r="K11">
        <v>644</v>
      </c>
      <c r="L11" t="str">
        <f>DiscreteStatsTable[[#This Row],[ProjectName]]&amp;DiscreteStatsTable[[#This Row],[Name]]&amp;DiscreteStatsTable[[#This Row],[Type]]&amp;DiscreteStatsTable[[#This Row],[Source]]</f>
        <v>Unnamed ProjectproductWait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1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56.216185374936003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56.216185374936003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56.216185374936003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10.4878435678229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182.18700188007901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644</v>
      </c>
      <c r="W11">
        <f>IF((DiscreteStatsTable[[#This Row],[RepsRequested]]&gt;1),DiscreteStatsTable[[#This Row],[HalfWidth]],DiscreteStatsTable[[#This Row],[BatchMeansHalfWidth]])</f>
        <v>3E+20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1</v>
      </c>
      <c r="Y11">
        <f>IF(DiscreteStatsTable[[#This Row],[RepsRequested]]=DiscreteStatsTable[[#This Row],[RepsWithStatObserved]],1,0)</f>
        <v>1</v>
      </c>
    </row>
    <row r="12" spans="1:25" x14ac:dyDescent="0.35">
      <c r="A12" t="s">
        <v>66</v>
      </c>
      <c r="B12" t="s">
        <v>69</v>
      </c>
      <c r="C12">
        <v>1</v>
      </c>
      <c r="D12" t="s">
        <v>76</v>
      </c>
      <c r="E12" t="s">
        <v>71</v>
      </c>
      <c r="F12" t="s">
        <v>72</v>
      </c>
      <c r="G12">
        <v>1.89103238380453</v>
      </c>
      <c r="H12">
        <v>0.59793200631841203</v>
      </c>
      <c r="I12">
        <v>0</v>
      </c>
      <c r="J12">
        <v>36.952703134354998</v>
      </c>
      <c r="K12">
        <v>656</v>
      </c>
      <c r="L12" t="str">
        <f>DiscreteStatsTable[[#This Row],[ProjectName]]&amp;DiscreteStatsTable[[#This Row],[Name]]&amp;DiscreteStatsTable[[#This Row],[Type]]&amp;DiscreteStatsTable[[#This Row],[Source]]</f>
        <v>Unnamed ProjectSeize ws1.QueueWaiting TimeQueue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1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1.89103238380453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0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1.89103238380453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1.89103238380453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36.952703134354998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656</v>
      </c>
      <c r="W12">
        <f>IF((DiscreteStatsTable[[#This Row],[RepsRequested]]&gt;1),DiscreteStatsTable[[#This Row],[HalfWidth]],DiscreteStatsTable[[#This Row],[BatchMeansHalfWidth]])</f>
        <v>0.59793200631841203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1</v>
      </c>
      <c r="Y12">
        <f>IF(DiscreteStatsTable[[#This Row],[RepsRequested]]=DiscreteStatsTable[[#This Row],[RepsWithStatObserved]],1,0)</f>
        <v>1</v>
      </c>
    </row>
    <row r="13" spans="1:25" x14ac:dyDescent="0.35">
      <c r="A13" t="s">
        <v>66</v>
      </c>
      <c r="B13" t="s">
        <v>69</v>
      </c>
      <c r="C13">
        <v>1</v>
      </c>
      <c r="D13" t="s">
        <v>77</v>
      </c>
      <c r="E13" t="s">
        <v>71</v>
      </c>
      <c r="F13" t="s">
        <v>72</v>
      </c>
      <c r="G13">
        <v>10.2761454726685</v>
      </c>
      <c r="H13">
        <v>3E+20</v>
      </c>
      <c r="I13">
        <v>0</v>
      </c>
      <c r="J13">
        <v>76.239613596303997</v>
      </c>
      <c r="K13">
        <v>650</v>
      </c>
      <c r="L13" t="str">
        <f>DiscreteStatsTable[[#This Row],[ProjectName]]&amp;DiscreteStatsTable[[#This Row],[Name]]&amp;DiscreteStatsTable[[#This Row],[Type]]&amp;DiscreteStatsTable[[#This Row],[Source]]</f>
        <v>Unnamed ProjectSeize ws2.QueueWaiting TimeQueue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1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10.2761454726685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10.2761454726685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10.2761454726685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76.239613596303997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650</v>
      </c>
      <c r="W13">
        <f>IF((DiscreteStatsTable[[#This Row],[RepsRequested]]&gt;1),DiscreteStatsTable[[#This Row],[HalfWidth]],DiscreteStatsTable[[#This Row],[BatchMeansHalfWidth]])</f>
        <v>3E+20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1</v>
      </c>
      <c r="Y13">
        <f>IF(DiscreteStatsTable[[#This Row],[RepsRequested]]=DiscreteStatsTable[[#This Row],[RepsWithStatObserved]],1,0)</f>
        <v>1</v>
      </c>
    </row>
    <row r="14" spans="1:25" x14ac:dyDescent="0.35">
      <c r="A14" t="s">
        <v>66</v>
      </c>
      <c r="B14" t="s">
        <v>69</v>
      </c>
      <c r="C14">
        <v>1</v>
      </c>
      <c r="D14" t="s">
        <v>78</v>
      </c>
      <c r="E14" t="s">
        <v>71</v>
      </c>
      <c r="F14" t="s">
        <v>72</v>
      </c>
      <c r="G14">
        <v>11.838192101540599</v>
      </c>
      <c r="H14">
        <v>0.99659725094876195</v>
      </c>
      <c r="I14">
        <v>0</v>
      </c>
      <c r="J14">
        <v>62.588332234374299</v>
      </c>
      <c r="K14">
        <v>645</v>
      </c>
      <c r="L14" t="str">
        <f>DiscreteStatsTable[[#This Row],[ProjectName]]&amp;DiscreteStatsTable[[#This Row],[Name]]&amp;DiscreteStatsTable[[#This Row],[Type]]&amp;DiscreteStatsTable[[#This Row],[Source]]</f>
        <v>Unnamed ProjectSeize ws3.QueueWaiting TimeQueue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1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11.838192101540599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11.838192101540599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11.838192101540599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62.588332234374299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645</v>
      </c>
      <c r="W14">
        <f>IF((DiscreteStatsTable[[#This Row],[RepsRequested]]&gt;1),DiscreteStatsTable[[#This Row],[HalfWidth]],DiscreteStatsTable[[#This Row],[BatchMeansHalfWidth]])</f>
        <v>0.99659725094876195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1</v>
      </c>
      <c r="Y14">
        <f>IF(DiscreteStatsTable[[#This Row],[RepsRequested]]=DiscreteStatsTable[[#This Row],[RepsWithStatObserved]],1,0)</f>
        <v>1</v>
      </c>
    </row>
    <row r="15" spans="1:25" x14ac:dyDescent="0.35">
      <c r="A15" t="s">
        <v>66</v>
      </c>
      <c r="B15" t="s">
        <v>69</v>
      </c>
      <c r="C15">
        <v>1</v>
      </c>
      <c r="D15" t="s">
        <v>79</v>
      </c>
      <c r="E15" t="s">
        <v>71</v>
      </c>
      <c r="F15" t="s">
        <v>72</v>
      </c>
      <c r="G15">
        <v>8.3406913661322903</v>
      </c>
      <c r="H15">
        <v>3E+20</v>
      </c>
      <c r="I15">
        <v>0</v>
      </c>
      <c r="J15">
        <v>55.224362033730401</v>
      </c>
      <c r="K15">
        <v>644</v>
      </c>
      <c r="L15" t="str">
        <f>DiscreteStatsTable[[#This Row],[ProjectName]]&amp;DiscreteStatsTable[[#This Row],[Name]]&amp;DiscreteStatsTable[[#This Row],[Type]]&amp;DiscreteStatsTable[[#This Row],[Source]]</f>
        <v>Unnamed ProjectSeize ws4.QueueWaiting TimeQueue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1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8.3406913661322903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4E+20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8.3406913661322903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8.3406913661322903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55.224362033730401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644</v>
      </c>
      <c r="W15">
        <f>IF((DiscreteStatsTable[[#This Row],[RepsRequested]]&gt;1),DiscreteStatsTable[[#This Row],[HalfWidth]],DiscreteStatsTable[[#This Row],[BatchMeansHalfWidth]])</f>
        <v>3E+20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1</v>
      </c>
      <c r="Y15">
        <f>IF(DiscreteStatsTable[[#This Row],[RepsRequested]]=DiscreteStatsTable[[#This Row],[RepsWithStatObserved]],1,0)</f>
        <v>1</v>
      </c>
    </row>
  </sheetData>
  <phoneticPr fontId="2" type="noConversion"/>
  <conditionalFormatting sqref="H2:H15 Q2:Q15">
    <cfRule type="expression" dxfId="20" priority="23">
      <formula>H2=200000000000000000000</formula>
    </cfRule>
  </conditionalFormatting>
  <conditionalFormatting sqref="H2:H15">
    <cfRule type="expression" dxfId="19" priority="21">
      <formula>H2=300000000000000000000</formula>
    </cfRule>
  </conditionalFormatting>
  <conditionalFormatting sqref="L2:Y15">
    <cfRule type="expression" dxfId="18" priority="19">
      <formula>MOD(ROW(),2)=0</formula>
    </cfRule>
  </conditionalFormatting>
  <conditionalFormatting sqref="Y2:Y15">
    <cfRule type="expression" dxfId="17" priority="14">
      <formula>Y2=0</formula>
    </cfRule>
    <cfRule type="expression" dxfId="16" priority="16">
      <formula>Y2=1</formula>
    </cfRule>
  </conditionalFormatting>
  <conditionalFormatting sqref="Y3:Y15">
    <cfRule type="expression" dxfId="15" priority="15">
      <formula>Y3=1</formula>
    </cfRule>
  </conditionalFormatting>
  <conditionalFormatting sqref="W2:W15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15 W2:W15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22"/>
  <sheetViews>
    <sheetView workbookViewId="0">
      <selection activeCell="A2" sqref="A2:L1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16.1796875" bestFit="1" customWidth="1"/>
    <col min="5" max="5" width="21.81640625" bestFit="1" customWidth="1"/>
    <col min="6" max="6" width="8.7265625" bestFit="1" customWidth="1"/>
    <col min="7" max="7" width="11.81640625" bestFit="1" customWidth="1"/>
    <col min="8" max="8" width="22.1796875" bestFit="1" customWidth="1"/>
    <col min="9" max="9" width="11.1796875" bestFit="1" customWidth="1"/>
    <col min="10" max="10" width="11.54296875" bestFit="1" customWidth="1"/>
    <col min="11" max="11" width="19.26953125" bestFit="1" customWidth="1"/>
    <col min="12" max="12" width="11.1796875" bestFit="1" customWidth="1"/>
    <col min="13" max="13" width="50.54296875" bestFit="1" customWidth="1"/>
    <col min="14" max="14" width="16.08984375" bestFit="1" customWidth="1"/>
    <col min="15" max="15" width="18.6328125" bestFit="1" customWidth="1"/>
    <col min="16" max="16" width="16.7265625" bestFit="1" customWidth="1"/>
    <col min="17" max="17" width="19" bestFit="1" customWidth="1"/>
    <col min="18" max="18" width="11.6328125" bestFit="1" customWidth="1"/>
    <col min="19" max="19" width="18" bestFit="1" customWidth="1"/>
    <col min="20" max="20" width="18.36328125" bestFit="1" customWidth="1"/>
    <col min="21" max="21" width="19.7265625" bestFit="1" customWidth="1"/>
    <col min="22" max="22" width="20" bestFit="1" customWidth="1"/>
  </cols>
  <sheetData>
    <row r="1" spans="1:21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5">
      <c r="A2" t="s">
        <v>66</v>
      </c>
      <c r="B2" t="s">
        <v>69</v>
      </c>
      <c r="C2">
        <v>1</v>
      </c>
      <c r="D2" t="s">
        <v>70</v>
      </c>
      <c r="E2" t="s">
        <v>88</v>
      </c>
      <c r="F2" t="s">
        <v>72</v>
      </c>
      <c r="G2">
        <v>9.7464664342920004E-2</v>
      </c>
      <c r="H2">
        <v>3E+20</v>
      </c>
      <c r="I2">
        <v>0</v>
      </c>
      <c r="J2">
        <v>1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ProjectAccess ws1.QueueNumber WaitingQueue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1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9.7464664342920004E-2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9.7464664342920004E-2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9.7464664342920004E-2</v>
      </c>
      <c r="U2">
        <f>IF((ContinuousStatsTable[[#This Row],[RepsRequested]]&gt;1),ContinuousStatsTable[[#This Row],[HalfWidth]],ContinuousStatsTable[[#This Row],[BatchMeansHalfWidth]])</f>
        <v>3E+20</v>
      </c>
    </row>
    <row r="3" spans="1:21" x14ac:dyDescent="0.35">
      <c r="A3" t="s">
        <v>66</v>
      </c>
      <c r="B3" t="s">
        <v>69</v>
      </c>
      <c r="C3">
        <v>1</v>
      </c>
      <c r="D3" t="s">
        <v>73</v>
      </c>
      <c r="E3" t="s">
        <v>88</v>
      </c>
      <c r="F3" t="s">
        <v>72</v>
      </c>
      <c r="G3">
        <v>0.18728194652990901</v>
      </c>
      <c r="H3">
        <v>3E+20</v>
      </c>
      <c r="I3">
        <v>0</v>
      </c>
      <c r="J3">
        <v>1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ProjectAccess ws2.QueueNumber WaitingQueue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1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0.18728194652990901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0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0.18728194652990901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0.18728194652990901</v>
      </c>
      <c r="U3">
        <f>IF((ContinuousStatsTable[[#This Row],[RepsRequested]]&gt;1),ContinuousStatsTable[[#This Row],[HalfWidth]],ContinuousStatsTable[[#This Row],[BatchMeansHalfWidth]])</f>
        <v>3E+20</v>
      </c>
    </row>
    <row r="4" spans="1:21" x14ac:dyDescent="0.35">
      <c r="A4" t="s">
        <v>66</v>
      </c>
      <c r="B4" t="s">
        <v>69</v>
      </c>
      <c r="C4">
        <v>1</v>
      </c>
      <c r="D4" t="s">
        <v>74</v>
      </c>
      <c r="E4" t="s">
        <v>88</v>
      </c>
      <c r="F4" t="s">
        <v>72</v>
      </c>
      <c r="G4">
        <v>4.59350401959015E-2</v>
      </c>
      <c r="H4">
        <v>1.50421451941289E-2</v>
      </c>
      <c r="I4">
        <v>0</v>
      </c>
      <c r="J4">
        <v>1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ProjectAccess ws3.QueueNumber WaitingQueue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1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4.59350401959015E-2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4.59350401959015E-2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4.59350401959015E-2</v>
      </c>
      <c r="U4">
        <f>IF((ContinuousStatsTable[[#This Row],[RepsRequested]]&gt;1),ContinuousStatsTable[[#This Row],[HalfWidth]],ContinuousStatsTable[[#This Row],[BatchMeansHalfWidth]])</f>
        <v>1.50421451941289E-2</v>
      </c>
    </row>
    <row r="5" spans="1:21" x14ac:dyDescent="0.35">
      <c r="A5" t="s">
        <v>66</v>
      </c>
      <c r="B5" t="s">
        <v>69</v>
      </c>
      <c r="C5">
        <v>1</v>
      </c>
      <c r="D5" t="s">
        <v>75</v>
      </c>
      <c r="E5" t="s">
        <v>88</v>
      </c>
      <c r="F5" t="s">
        <v>72</v>
      </c>
      <c r="G5">
        <v>0.87594827562242195</v>
      </c>
      <c r="H5">
        <v>2E+20</v>
      </c>
      <c r="I5">
        <v>0</v>
      </c>
      <c r="J5">
        <v>1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ProjectHold.QueueNumber WaitingQueue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1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0.87594827562242195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0.87594827562242195</v>
      </c>
      <c r="U5">
        <f>IF((ContinuousStatsTable[[#This Row],[RepsRequested]]&gt;1),ContinuousStatsTable[[#This Row],[HalfWidth]],ContinuousStatsTable[[#This Row],[BatchMeansHalfWidth]])</f>
        <v>2E+20</v>
      </c>
    </row>
    <row r="6" spans="1:21" x14ac:dyDescent="0.35">
      <c r="A6" t="s">
        <v>66</v>
      </c>
      <c r="B6" t="s">
        <v>69</v>
      </c>
      <c r="C6">
        <v>1</v>
      </c>
      <c r="D6" t="s">
        <v>76</v>
      </c>
      <c r="E6" t="s">
        <v>88</v>
      </c>
      <c r="F6" t="s">
        <v>72</v>
      </c>
      <c r="G6">
        <v>0.124051724377577</v>
      </c>
      <c r="H6">
        <v>2E+20</v>
      </c>
      <c r="I6">
        <v>0</v>
      </c>
      <c r="J6">
        <v>1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ProjectSeize ws1.QueueNumber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1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0.124051724377577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0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0.124051724377577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0.124051724377577</v>
      </c>
      <c r="U6">
        <f>IF((ContinuousStatsTable[[#This Row],[RepsRequested]]&gt;1),ContinuousStatsTable[[#This Row],[HalfWidth]],ContinuousStatsTable[[#This Row],[BatchMeansHalfWidth]])</f>
        <v>2E+20</v>
      </c>
    </row>
    <row r="7" spans="1:21" x14ac:dyDescent="0.35">
      <c r="A7" t="s">
        <v>66</v>
      </c>
      <c r="B7" t="s">
        <v>69</v>
      </c>
      <c r="C7">
        <v>1</v>
      </c>
      <c r="D7" t="s">
        <v>77</v>
      </c>
      <c r="E7" t="s">
        <v>88</v>
      </c>
      <c r="F7" t="s">
        <v>72</v>
      </c>
      <c r="G7">
        <v>0.66930709629346596</v>
      </c>
      <c r="H7">
        <v>3E+20</v>
      </c>
      <c r="I7">
        <v>0</v>
      </c>
      <c r="J7">
        <v>1</v>
      </c>
      <c r="K7">
        <v>1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ProjectSeize ws2.QueueNumber WaitingQueue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1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0.66930709629346596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0.66930709629346596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0.66930709629346596</v>
      </c>
      <c r="U7">
        <f>IF((ContinuousStatsTable[[#This Row],[RepsRequested]]&gt;1),ContinuousStatsTable[[#This Row],[HalfWidth]],ContinuousStatsTable[[#This Row],[BatchMeansHalfWidth]])</f>
        <v>3E+20</v>
      </c>
    </row>
    <row r="8" spans="1:21" x14ac:dyDescent="0.35">
      <c r="A8" t="s">
        <v>66</v>
      </c>
      <c r="B8" t="s">
        <v>69</v>
      </c>
      <c r="C8">
        <v>1</v>
      </c>
      <c r="D8" t="s">
        <v>78</v>
      </c>
      <c r="E8" t="s">
        <v>88</v>
      </c>
      <c r="F8" t="s">
        <v>72</v>
      </c>
      <c r="G8">
        <v>0.76649718504434805</v>
      </c>
      <c r="H8">
        <v>3E+20</v>
      </c>
      <c r="I8">
        <v>0</v>
      </c>
      <c r="J8">
        <v>1</v>
      </c>
      <c r="K8">
        <v>1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ProjectSeize ws3.QueueNumber WaitingQueue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1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0.76649718504434805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0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0.76649718504434805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0.76649718504434805</v>
      </c>
      <c r="U8">
        <f>IF((ContinuousStatsTable[[#This Row],[RepsRequested]]&gt;1),ContinuousStatsTable[[#This Row],[HalfWidth]],ContinuousStatsTable[[#This Row],[BatchMeansHalfWidth]])</f>
        <v>3E+20</v>
      </c>
    </row>
    <row r="9" spans="1:21" x14ac:dyDescent="0.35">
      <c r="A9" t="s">
        <v>66</v>
      </c>
      <c r="B9" t="s">
        <v>69</v>
      </c>
      <c r="C9">
        <v>1</v>
      </c>
      <c r="D9" t="s">
        <v>79</v>
      </c>
      <c r="E9" t="s">
        <v>88</v>
      </c>
      <c r="F9" t="s">
        <v>72</v>
      </c>
      <c r="G9">
        <v>0.53714052397891998</v>
      </c>
      <c r="H9">
        <v>3E+20</v>
      </c>
      <c r="I9">
        <v>0</v>
      </c>
      <c r="J9">
        <v>1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ProjectSeize ws4.QueueNumber WaitingQueue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1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0.53714052397891998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0.53714052397891998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0.53714052397891998</v>
      </c>
      <c r="U9">
        <f>IF((ContinuousStatsTable[[#This Row],[RepsRequested]]&gt;1),ContinuousStatsTable[[#This Row],[HalfWidth]],ContinuousStatsTable[[#This Row],[BatchMeansHalfWidth]])</f>
        <v>3E+20</v>
      </c>
    </row>
    <row r="10" spans="1:21" x14ac:dyDescent="0.35">
      <c r="A10" t="s">
        <v>66</v>
      </c>
      <c r="B10" t="s">
        <v>69</v>
      </c>
      <c r="C10">
        <v>1</v>
      </c>
      <c r="D10" t="s">
        <v>80</v>
      </c>
      <c r="E10" t="s">
        <v>89</v>
      </c>
      <c r="F10" t="s">
        <v>82</v>
      </c>
      <c r="G10">
        <v>11.4698408739699</v>
      </c>
      <c r="H10">
        <v>3E+20</v>
      </c>
      <c r="I10">
        <v>0</v>
      </c>
      <c r="J10">
        <v>19</v>
      </c>
      <c r="K10">
        <v>13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ProjectproductWIPEntity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1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11.4698408739699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11.4698408739699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11.4698408739699</v>
      </c>
      <c r="U10">
        <f>IF((ContinuousStatsTable[[#This Row],[RepsRequested]]&gt;1),ContinuousStatsTable[[#This Row],[HalfWidth]],ContinuousStatsTable[[#This Row],[BatchMeansHalfWidth]])</f>
        <v>3E+20</v>
      </c>
    </row>
    <row r="11" spans="1:21" x14ac:dyDescent="0.35">
      <c r="A11" t="s">
        <v>66</v>
      </c>
      <c r="B11" t="s">
        <v>69</v>
      </c>
      <c r="C11">
        <v>1</v>
      </c>
      <c r="D11" t="s">
        <v>90</v>
      </c>
      <c r="E11" t="s">
        <v>91</v>
      </c>
      <c r="F11" t="s">
        <v>92</v>
      </c>
      <c r="G11">
        <v>0.87594827562242195</v>
      </c>
      <c r="H11">
        <v>2E+20</v>
      </c>
      <c r="I11">
        <v>0</v>
      </c>
      <c r="J11">
        <v>1</v>
      </c>
      <c r="K11">
        <v>1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Projectws1Instantaneous UtilizationResource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1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0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0.87594827562242195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0.87594827562242195</v>
      </c>
      <c r="U11">
        <f>IF((ContinuousStatsTable[[#This Row],[RepsRequested]]&gt;1),ContinuousStatsTable[[#This Row],[HalfWidth]],ContinuousStatsTable[[#This Row],[BatchMeansHalfWidth]])</f>
        <v>2E+20</v>
      </c>
    </row>
    <row r="12" spans="1:21" x14ac:dyDescent="0.35">
      <c r="A12" t="s">
        <v>66</v>
      </c>
      <c r="B12" t="s">
        <v>69</v>
      </c>
      <c r="C12">
        <v>1</v>
      </c>
      <c r="D12" t="s">
        <v>90</v>
      </c>
      <c r="E12" t="s">
        <v>93</v>
      </c>
      <c r="F12" t="s">
        <v>92</v>
      </c>
      <c r="G12">
        <v>0.87594827562242195</v>
      </c>
      <c r="H12">
        <v>2E+20</v>
      </c>
      <c r="I12">
        <v>0</v>
      </c>
      <c r="J12">
        <v>1</v>
      </c>
      <c r="K12">
        <v>1</v>
      </c>
      <c r="L12">
        <v>0</v>
      </c>
      <c r="M12" s="5" t="str">
        <f>ContinuousStatsTable[[#This Row],[ProjectName]]&amp;ContinuousStatsTable[[#This Row],[Name]]&amp;ContinuousStatsTable[[#This Row],[Type]]&amp;ContinuousStatsTable[[#This Row],[Source]]</f>
        <v>Unnamed Projectws1Number BusyResource</v>
      </c>
      <c r="N12" s="5" cm="1">
        <f t="array" ref="N12">MAX(IF((ProjectInfoTable[ProjectName]=ContinuousStatsTable[[#This Row],[ProjectName]]),(ProjectInfoTable[ProjectName]=ContinuousStatsTable[[#This Row],[ProjectName]])*ProjectInfoTable[NumberOfReplications]))</f>
        <v>1</v>
      </c>
      <c r="O12" s="5" cm="1">
        <f t="array" ref="O12">IFERROR(AVERAGE(IF((ContinuousStatsTable[GroupByKey]=ContinuousStatsTable[[#This Row],[GroupByKey]]),(ContinuousStatsTable[GroupByKey]=ContinuousStatsTable[[#This Row],[GroupByKey]])*ContinuousStatsTable[Average])),0)</f>
        <v>0.87594827562242195</v>
      </c>
      <c r="P12" s="5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</v>
      </c>
      <c r="Q12" s="5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2" s="5" cm="1">
        <f t="array" ref="S12">MIN(IF((ContinuousStatsTable[GroupByKey]=ContinuousStatsTable[[#This Row],[GroupByKey]]),(ContinuousStatsTable[GroupByKey]=ContinuousStatsTable[[#This Row],[GroupByKey]])*ContinuousStatsTable[Average]))</f>
        <v>0.87594827562242195</v>
      </c>
      <c r="T12" s="5" cm="1">
        <f t="array" ref="T12">MAX(IF((ContinuousStatsTable[GroupByKey]=ContinuousStatsTable[[#This Row],[GroupByKey]]),(ContinuousStatsTable[GroupByKey]=ContinuousStatsTable[[#This Row],[GroupByKey]])*ContinuousStatsTable[Average]))</f>
        <v>0.87594827562242195</v>
      </c>
      <c r="U12" s="5">
        <f>IF((ContinuousStatsTable[[#This Row],[RepsRequested]]&gt;1),ContinuousStatsTable[[#This Row],[HalfWidth]],ContinuousStatsTable[[#This Row],[BatchMeansHalfWidth]])</f>
        <v>2E+20</v>
      </c>
    </row>
    <row r="13" spans="1:21" x14ac:dyDescent="0.35">
      <c r="A13" t="s">
        <v>66</v>
      </c>
      <c r="B13" t="s">
        <v>69</v>
      </c>
      <c r="C13">
        <v>1</v>
      </c>
      <c r="D13" t="s">
        <v>90</v>
      </c>
      <c r="E13" t="s">
        <v>94</v>
      </c>
      <c r="F13" t="s">
        <v>92</v>
      </c>
      <c r="G13">
        <v>1</v>
      </c>
      <c r="H13">
        <v>2E+20</v>
      </c>
      <c r="I13">
        <v>1</v>
      </c>
      <c r="J13">
        <v>1</v>
      </c>
      <c r="K13">
        <v>1</v>
      </c>
      <c r="L13">
        <v>0</v>
      </c>
      <c r="M13" s="5" t="str">
        <f>ContinuousStatsTable[[#This Row],[ProjectName]]&amp;ContinuousStatsTable[[#This Row],[Name]]&amp;ContinuousStatsTable[[#This Row],[Type]]&amp;ContinuousStatsTable[[#This Row],[Source]]</f>
        <v>Unnamed Projectws1Number ScheduledResource</v>
      </c>
      <c r="N13" s="5" cm="1">
        <f t="array" ref="N13">MAX(IF((ProjectInfoTable[ProjectName]=ContinuousStatsTable[[#This Row],[ProjectName]]),(ProjectInfoTable[ProjectName]=ContinuousStatsTable[[#This Row],[ProjectName]])*ProjectInfoTable[NumberOfReplications]))</f>
        <v>1</v>
      </c>
      <c r="O13" s="5" cm="1">
        <f t="array" ref="O13">IFERROR(AVERAGE(IF((ContinuousStatsTable[GroupByKey]=ContinuousStatsTable[[#This Row],[GroupByKey]]),(ContinuousStatsTable[GroupByKey]=ContinuousStatsTable[[#This Row],[GroupByKey]])*ContinuousStatsTable[Average])),0)</f>
        <v>1</v>
      </c>
      <c r="P13" s="5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0</v>
      </c>
      <c r="Q13" s="5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3" s="5" cm="1">
        <f t="array" ref="S13">MIN(IF((ContinuousStatsTable[GroupByKey]=ContinuousStatsTable[[#This Row],[GroupByKey]]),(ContinuousStatsTable[GroupByKey]=ContinuousStatsTable[[#This Row],[GroupByKey]])*ContinuousStatsTable[Average]))</f>
        <v>1</v>
      </c>
      <c r="T13" s="5" cm="1">
        <f t="array" ref="T13">MAX(IF((ContinuousStatsTable[GroupByKey]=ContinuousStatsTable[[#This Row],[GroupByKey]]),(ContinuousStatsTable[GroupByKey]=ContinuousStatsTable[[#This Row],[GroupByKey]])*ContinuousStatsTable[Average]))</f>
        <v>1</v>
      </c>
      <c r="U13" s="5">
        <f>IF((ContinuousStatsTable[[#This Row],[RepsRequested]]&gt;1),ContinuousStatsTable[[#This Row],[HalfWidth]],ContinuousStatsTable[[#This Row],[BatchMeansHalfWidth]])</f>
        <v>2E+20</v>
      </c>
    </row>
    <row r="14" spans="1:21" x14ac:dyDescent="0.35">
      <c r="A14" t="s">
        <v>66</v>
      </c>
      <c r="B14" t="s">
        <v>69</v>
      </c>
      <c r="C14">
        <v>1</v>
      </c>
      <c r="D14" t="s">
        <v>95</v>
      </c>
      <c r="E14" t="s">
        <v>91</v>
      </c>
      <c r="F14" t="s">
        <v>92</v>
      </c>
      <c r="G14">
        <v>0.77826134577488204</v>
      </c>
      <c r="H14">
        <v>2E+20</v>
      </c>
      <c r="I14">
        <v>0</v>
      </c>
      <c r="J14">
        <v>1</v>
      </c>
      <c r="K14">
        <v>1</v>
      </c>
      <c r="L14">
        <v>0</v>
      </c>
      <c r="M14" s="5" t="str">
        <f>ContinuousStatsTable[[#This Row],[ProjectName]]&amp;ContinuousStatsTable[[#This Row],[Name]]&amp;ContinuousStatsTable[[#This Row],[Type]]&amp;ContinuousStatsTable[[#This Row],[Source]]</f>
        <v>Unnamed Projectws2Instantaneous UtilizationResource</v>
      </c>
      <c r="N14" s="5" cm="1">
        <f t="array" ref="N14">MAX(IF((ProjectInfoTable[ProjectName]=ContinuousStatsTable[[#This Row],[ProjectName]]),(ProjectInfoTable[ProjectName]=ContinuousStatsTable[[#This Row],[ProjectName]])*ProjectInfoTable[NumberOfReplications]))</f>
        <v>1</v>
      </c>
      <c r="O14" s="5" cm="1">
        <f t="array" ref="O14">IFERROR(AVERAGE(IF((ContinuousStatsTable[GroupByKey]=ContinuousStatsTable[[#This Row],[GroupByKey]]),(ContinuousStatsTable[GroupByKey]=ContinuousStatsTable[[#This Row],[GroupByKey]])*ContinuousStatsTable[Average])),0)</f>
        <v>0.77826134577488204</v>
      </c>
      <c r="P14" s="5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</v>
      </c>
      <c r="Q14" s="5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4" s="5" cm="1">
        <f t="array" ref="S14">MIN(IF((ContinuousStatsTable[GroupByKey]=ContinuousStatsTable[[#This Row],[GroupByKey]]),(ContinuousStatsTable[GroupByKey]=ContinuousStatsTable[[#This Row],[GroupByKey]])*ContinuousStatsTable[Average]))</f>
        <v>0.77826134577488204</v>
      </c>
      <c r="T14" s="5" cm="1">
        <f t="array" ref="T14">MAX(IF((ContinuousStatsTable[GroupByKey]=ContinuousStatsTable[[#This Row],[GroupByKey]]),(ContinuousStatsTable[GroupByKey]=ContinuousStatsTable[[#This Row],[GroupByKey]])*ContinuousStatsTable[Average]))</f>
        <v>0.77826134577488204</v>
      </c>
      <c r="U14" s="5">
        <f>IF((ContinuousStatsTable[[#This Row],[RepsRequested]]&gt;1),ContinuousStatsTable[[#This Row],[HalfWidth]],ContinuousStatsTable[[#This Row],[BatchMeansHalfWidth]])</f>
        <v>2E+20</v>
      </c>
    </row>
    <row r="15" spans="1:21" x14ac:dyDescent="0.35">
      <c r="A15" t="s">
        <v>66</v>
      </c>
      <c r="B15" t="s">
        <v>69</v>
      </c>
      <c r="C15">
        <v>1</v>
      </c>
      <c r="D15" t="s">
        <v>95</v>
      </c>
      <c r="E15" t="s">
        <v>93</v>
      </c>
      <c r="F15" t="s">
        <v>92</v>
      </c>
      <c r="G15">
        <v>0.77826134577488204</v>
      </c>
      <c r="H15">
        <v>2E+20</v>
      </c>
      <c r="I15">
        <v>0</v>
      </c>
      <c r="J15">
        <v>1</v>
      </c>
      <c r="K15">
        <v>1</v>
      </c>
      <c r="L15">
        <v>0</v>
      </c>
      <c r="M15" s="5" t="str">
        <f>ContinuousStatsTable[[#This Row],[ProjectName]]&amp;ContinuousStatsTable[[#This Row],[Name]]&amp;ContinuousStatsTable[[#This Row],[Type]]&amp;ContinuousStatsTable[[#This Row],[Source]]</f>
        <v>Unnamed Projectws2Number BusyResource</v>
      </c>
      <c r="N15" s="5" cm="1">
        <f t="array" ref="N15">MAX(IF((ProjectInfoTable[ProjectName]=ContinuousStatsTable[[#This Row],[ProjectName]]),(ProjectInfoTable[ProjectName]=ContinuousStatsTable[[#This Row],[ProjectName]])*ProjectInfoTable[NumberOfReplications]))</f>
        <v>1</v>
      </c>
      <c r="O15" s="5" cm="1">
        <f t="array" ref="O15">IFERROR(AVERAGE(IF((ContinuousStatsTable[GroupByKey]=ContinuousStatsTable[[#This Row],[GroupByKey]]),(ContinuousStatsTable[GroupByKey]=ContinuousStatsTable[[#This Row],[GroupByKey]])*ContinuousStatsTable[Average])),0)</f>
        <v>0.77826134577488204</v>
      </c>
      <c r="P15" s="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s="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5" s="5" cm="1">
        <f t="array" ref="S15">MIN(IF((ContinuousStatsTable[GroupByKey]=ContinuousStatsTable[[#This Row],[GroupByKey]]),(ContinuousStatsTable[GroupByKey]=ContinuousStatsTable[[#This Row],[GroupByKey]])*ContinuousStatsTable[Average]))</f>
        <v>0.77826134577488204</v>
      </c>
      <c r="T15" s="5" cm="1">
        <f t="array" ref="T15">MAX(IF((ContinuousStatsTable[GroupByKey]=ContinuousStatsTable[[#This Row],[GroupByKey]]),(ContinuousStatsTable[GroupByKey]=ContinuousStatsTable[[#This Row],[GroupByKey]])*ContinuousStatsTable[Average]))</f>
        <v>0.77826134577488204</v>
      </c>
      <c r="U15" s="5">
        <f>IF((ContinuousStatsTable[[#This Row],[RepsRequested]]&gt;1),ContinuousStatsTable[[#This Row],[HalfWidth]],ContinuousStatsTable[[#This Row],[BatchMeansHalfWidth]])</f>
        <v>2E+20</v>
      </c>
    </row>
    <row r="16" spans="1:21" x14ac:dyDescent="0.35">
      <c r="A16" t="s">
        <v>66</v>
      </c>
      <c r="B16" t="s">
        <v>69</v>
      </c>
      <c r="C16">
        <v>1</v>
      </c>
      <c r="D16" t="s">
        <v>95</v>
      </c>
      <c r="E16" t="s">
        <v>94</v>
      </c>
      <c r="F16" t="s">
        <v>92</v>
      </c>
      <c r="G16">
        <v>1</v>
      </c>
      <c r="H16">
        <v>2E+20</v>
      </c>
      <c r="I16">
        <v>1</v>
      </c>
      <c r="J16">
        <v>1</v>
      </c>
      <c r="K16">
        <v>1</v>
      </c>
      <c r="L16">
        <v>0</v>
      </c>
      <c r="M16" s="5" t="str">
        <f>ContinuousStatsTable[[#This Row],[ProjectName]]&amp;ContinuousStatsTable[[#This Row],[Name]]&amp;ContinuousStatsTable[[#This Row],[Type]]&amp;ContinuousStatsTable[[#This Row],[Source]]</f>
        <v>Unnamed Projectws2Number ScheduledResource</v>
      </c>
      <c r="N16" s="5" cm="1">
        <f t="array" ref="N16">MAX(IF((ProjectInfoTable[ProjectName]=ContinuousStatsTable[[#This Row],[ProjectName]]),(ProjectInfoTable[ProjectName]=ContinuousStatsTable[[#This Row],[ProjectName]])*ProjectInfoTable[NumberOfReplications]))</f>
        <v>1</v>
      </c>
      <c r="O16" s="5" cm="1">
        <f t="array" ref="O16">IFERROR(AVERAGE(IF((ContinuousStatsTable[GroupByKey]=ContinuousStatsTable[[#This Row],[GroupByKey]]),(ContinuousStatsTable[GroupByKey]=ContinuousStatsTable[[#This Row],[GroupByKey]])*ContinuousStatsTable[Average])),0)</f>
        <v>1</v>
      </c>
      <c r="P16" s="5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0</v>
      </c>
      <c r="Q16" s="5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6" s="5" cm="1">
        <f t="array" ref="S16">MIN(IF((ContinuousStatsTable[GroupByKey]=ContinuousStatsTable[[#This Row],[GroupByKey]]),(ContinuousStatsTable[GroupByKey]=ContinuousStatsTable[[#This Row],[GroupByKey]])*ContinuousStatsTable[Average]))</f>
        <v>1</v>
      </c>
      <c r="T16" s="5" cm="1">
        <f t="array" ref="T16">MAX(IF((ContinuousStatsTable[GroupByKey]=ContinuousStatsTable[[#This Row],[GroupByKey]]),(ContinuousStatsTable[GroupByKey]=ContinuousStatsTable[[#This Row],[GroupByKey]])*ContinuousStatsTable[Average]))</f>
        <v>1</v>
      </c>
      <c r="U16" s="5">
        <f>IF((ContinuousStatsTable[[#This Row],[RepsRequested]]&gt;1),ContinuousStatsTable[[#This Row],[HalfWidth]],ContinuousStatsTable[[#This Row],[BatchMeansHalfWidth]])</f>
        <v>2E+20</v>
      </c>
    </row>
    <row r="17" spans="1:21" x14ac:dyDescent="0.35">
      <c r="A17" t="s">
        <v>66</v>
      </c>
      <c r="B17" t="s">
        <v>69</v>
      </c>
      <c r="C17">
        <v>1</v>
      </c>
      <c r="D17" t="s">
        <v>96</v>
      </c>
      <c r="E17" t="s">
        <v>91</v>
      </c>
      <c r="F17" t="s">
        <v>92</v>
      </c>
      <c r="G17">
        <v>0.81634011722827604</v>
      </c>
      <c r="H17">
        <v>2E+20</v>
      </c>
      <c r="I17">
        <v>0</v>
      </c>
      <c r="J17">
        <v>1</v>
      </c>
      <c r="K17">
        <v>0</v>
      </c>
      <c r="L17">
        <v>0</v>
      </c>
      <c r="M17" s="5" t="str">
        <f>ContinuousStatsTable[[#This Row],[ProjectName]]&amp;ContinuousStatsTable[[#This Row],[Name]]&amp;ContinuousStatsTable[[#This Row],[Type]]&amp;ContinuousStatsTable[[#This Row],[Source]]</f>
        <v>Unnamed Projectws3Instantaneous UtilizationResource</v>
      </c>
      <c r="N17" s="5" cm="1">
        <f t="array" ref="N17">MAX(IF((ProjectInfoTable[ProjectName]=ContinuousStatsTable[[#This Row],[ProjectName]]),(ProjectInfoTable[ProjectName]=ContinuousStatsTable[[#This Row],[ProjectName]])*ProjectInfoTable[NumberOfReplications]))</f>
        <v>1</v>
      </c>
      <c r="O17" s="5" cm="1">
        <f t="array" ref="O17">IFERROR(AVERAGE(IF((ContinuousStatsTable[GroupByKey]=ContinuousStatsTable[[#This Row],[GroupByKey]]),(ContinuousStatsTable[GroupByKey]=ContinuousStatsTable[[#This Row],[GroupByKey]])*ContinuousStatsTable[Average])),0)</f>
        <v>0.81634011722827604</v>
      </c>
      <c r="P17" s="5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</v>
      </c>
      <c r="Q17" s="5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7" s="5" cm="1">
        <f t="array" ref="S17">MIN(IF((ContinuousStatsTable[GroupByKey]=ContinuousStatsTable[[#This Row],[GroupByKey]]),(ContinuousStatsTable[GroupByKey]=ContinuousStatsTable[[#This Row],[GroupByKey]])*ContinuousStatsTable[Average]))</f>
        <v>0.81634011722827604</v>
      </c>
      <c r="T17" s="5" cm="1">
        <f t="array" ref="T17">MAX(IF((ContinuousStatsTable[GroupByKey]=ContinuousStatsTable[[#This Row],[GroupByKey]]),(ContinuousStatsTable[GroupByKey]=ContinuousStatsTable[[#This Row],[GroupByKey]])*ContinuousStatsTable[Average]))</f>
        <v>0.81634011722827604</v>
      </c>
      <c r="U17" s="5">
        <f>IF((ContinuousStatsTable[[#This Row],[RepsRequested]]&gt;1),ContinuousStatsTable[[#This Row],[HalfWidth]],ContinuousStatsTable[[#This Row],[BatchMeansHalfWidth]])</f>
        <v>2E+20</v>
      </c>
    </row>
    <row r="18" spans="1:21" x14ac:dyDescent="0.35">
      <c r="A18" t="s">
        <v>66</v>
      </c>
      <c r="B18" t="s">
        <v>69</v>
      </c>
      <c r="C18">
        <v>1</v>
      </c>
      <c r="D18" t="s">
        <v>96</v>
      </c>
      <c r="E18" t="s">
        <v>93</v>
      </c>
      <c r="F18" t="s">
        <v>92</v>
      </c>
      <c r="G18">
        <v>0.81634011722827604</v>
      </c>
      <c r="H18">
        <v>2E+20</v>
      </c>
      <c r="I18">
        <v>0</v>
      </c>
      <c r="J18">
        <v>1</v>
      </c>
      <c r="K18">
        <v>0</v>
      </c>
      <c r="L18">
        <v>0</v>
      </c>
      <c r="M18" s="5" t="str">
        <f>ContinuousStatsTable[[#This Row],[ProjectName]]&amp;ContinuousStatsTable[[#This Row],[Name]]&amp;ContinuousStatsTable[[#This Row],[Type]]&amp;ContinuousStatsTable[[#This Row],[Source]]</f>
        <v>Unnamed Projectws3Number BusyResource</v>
      </c>
      <c r="N18" s="5" cm="1">
        <f t="array" ref="N18">MAX(IF((ProjectInfoTable[ProjectName]=ContinuousStatsTable[[#This Row],[ProjectName]]),(ProjectInfoTable[ProjectName]=ContinuousStatsTable[[#This Row],[ProjectName]])*ProjectInfoTable[NumberOfReplications]))</f>
        <v>1</v>
      </c>
      <c r="O18" s="5" cm="1">
        <f t="array" ref="O18">IFERROR(AVERAGE(IF((ContinuousStatsTable[GroupByKey]=ContinuousStatsTable[[#This Row],[GroupByKey]]),(ContinuousStatsTable[GroupByKey]=ContinuousStatsTable[[#This Row],[GroupByKey]])*ContinuousStatsTable[Average])),0)</f>
        <v>0.81634011722827604</v>
      </c>
      <c r="P18" s="5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0</v>
      </c>
      <c r="Q18" s="5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8" s="5" cm="1">
        <f t="array" ref="S18">MIN(IF((ContinuousStatsTable[GroupByKey]=ContinuousStatsTable[[#This Row],[GroupByKey]]),(ContinuousStatsTable[GroupByKey]=ContinuousStatsTable[[#This Row],[GroupByKey]])*ContinuousStatsTable[Average]))</f>
        <v>0.81634011722827604</v>
      </c>
      <c r="T18" s="5" cm="1">
        <f t="array" ref="T18">MAX(IF((ContinuousStatsTable[GroupByKey]=ContinuousStatsTable[[#This Row],[GroupByKey]]),(ContinuousStatsTable[GroupByKey]=ContinuousStatsTable[[#This Row],[GroupByKey]])*ContinuousStatsTable[Average]))</f>
        <v>0.81634011722827604</v>
      </c>
      <c r="U18" s="5">
        <f>IF((ContinuousStatsTable[[#This Row],[RepsRequested]]&gt;1),ContinuousStatsTable[[#This Row],[HalfWidth]],ContinuousStatsTable[[#This Row],[BatchMeansHalfWidth]])</f>
        <v>2E+20</v>
      </c>
    </row>
    <row r="19" spans="1:21" x14ac:dyDescent="0.35">
      <c r="A19" t="s">
        <v>66</v>
      </c>
      <c r="B19" t="s">
        <v>69</v>
      </c>
      <c r="C19">
        <v>1</v>
      </c>
      <c r="D19" t="s">
        <v>96</v>
      </c>
      <c r="E19" t="s">
        <v>94</v>
      </c>
      <c r="F19" t="s">
        <v>92</v>
      </c>
      <c r="G19">
        <v>1</v>
      </c>
      <c r="H19">
        <v>2E+20</v>
      </c>
      <c r="I19">
        <v>1</v>
      </c>
      <c r="J19">
        <v>1</v>
      </c>
      <c r="K19">
        <v>1</v>
      </c>
      <c r="L19">
        <v>0</v>
      </c>
      <c r="M19" s="5" t="str">
        <f>ContinuousStatsTable[[#This Row],[ProjectName]]&amp;ContinuousStatsTable[[#This Row],[Name]]&amp;ContinuousStatsTable[[#This Row],[Type]]&amp;ContinuousStatsTable[[#This Row],[Source]]</f>
        <v>Unnamed Projectws3Number ScheduledResource</v>
      </c>
      <c r="N19" s="5" cm="1">
        <f t="array" ref="N19">MAX(IF((ProjectInfoTable[ProjectName]=ContinuousStatsTable[[#This Row],[ProjectName]]),(ProjectInfoTable[ProjectName]=ContinuousStatsTable[[#This Row],[ProjectName]])*ProjectInfoTable[NumberOfReplications]))</f>
        <v>1</v>
      </c>
      <c r="O19" s="5" cm="1">
        <f t="array" ref="O19">IFERROR(AVERAGE(IF((ContinuousStatsTable[GroupByKey]=ContinuousStatsTable[[#This Row],[GroupByKey]]),(ContinuousStatsTable[GroupByKey]=ContinuousStatsTable[[#This Row],[GroupByKey]])*ContinuousStatsTable[Average])),0)</f>
        <v>1</v>
      </c>
      <c r="P19" s="5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</v>
      </c>
      <c r="Q19" s="5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19" s="5" cm="1">
        <f t="array" ref="S19">MIN(IF((ContinuousStatsTable[GroupByKey]=ContinuousStatsTable[[#This Row],[GroupByKey]]),(ContinuousStatsTable[GroupByKey]=ContinuousStatsTable[[#This Row],[GroupByKey]])*ContinuousStatsTable[Average]))</f>
        <v>1</v>
      </c>
      <c r="T19" s="5" cm="1">
        <f t="array" ref="T19">MAX(IF((ContinuousStatsTable[GroupByKey]=ContinuousStatsTable[[#This Row],[GroupByKey]]),(ContinuousStatsTable[GroupByKey]=ContinuousStatsTable[[#This Row],[GroupByKey]])*ContinuousStatsTable[Average]))</f>
        <v>1</v>
      </c>
      <c r="U19" s="5">
        <f>IF((ContinuousStatsTable[[#This Row],[RepsRequested]]&gt;1),ContinuousStatsTable[[#This Row],[HalfWidth]],ContinuousStatsTable[[#This Row],[BatchMeansHalfWidth]])</f>
        <v>2E+20</v>
      </c>
    </row>
    <row r="20" spans="1:21" x14ac:dyDescent="0.35">
      <c r="A20" t="s">
        <v>66</v>
      </c>
      <c r="B20" t="s">
        <v>69</v>
      </c>
      <c r="C20">
        <v>1</v>
      </c>
      <c r="D20" t="s">
        <v>97</v>
      </c>
      <c r="E20" t="s">
        <v>91</v>
      </c>
      <c r="F20" t="s">
        <v>92</v>
      </c>
      <c r="G20">
        <v>0.81353380488452598</v>
      </c>
      <c r="H20">
        <v>2E+20</v>
      </c>
      <c r="I20">
        <v>0</v>
      </c>
      <c r="J20">
        <v>1</v>
      </c>
      <c r="K20">
        <v>0</v>
      </c>
      <c r="L20">
        <v>0</v>
      </c>
      <c r="M20" s="5" t="str">
        <f>ContinuousStatsTable[[#This Row],[ProjectName]]&amp;ContinuousStatsTable[[#This Row],[Name]]&amp;ContinuousStatsTable[[#This Row],[Type]]&amp;ContinuousStatsTable[[#This Row],[Source]]</f>
        <v>Unnamed Projectws4Instantaneous UtilizationResource</v>
      </c>
      <c r="N20" s="5" cm="1">
        <f t="array" ref="N20">MAX(IF((ProjectInfoTable[ProjectName]=ContinuousStatsTable[[#This Row],[ProjectName]]),(ProjectInfoTable[ProjectName]=ContinuousStatsTable[[#This Row],[ProjectName]])*ProjectInfoTable[NumberOfReplications]))</f>
        <v>1</v>
      </c>
      <c r="O20" s="5" cm="1">
        <f t="array" ref="O20">IFERROR(AVERAGE(IF((ContinuousStatsTable[GroupByKey]=ContinuousStatsTable[[#This Row],[GroupByKey]]),(ContinuousStatsTable[GroupByKey]=ContinuousStatsTable[[#This Row],[GroupByKey]])*ContinuousStatsTable[Average])),0)</f>
        <v>0.81353380488452598</v>
      </c>
      <c r="P20" s="5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s="5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0" s="5" cm="1">
        <f t="array" ref="S20">MIN(IF((ContinuousStatsTable[GroupByKey]=ContinuousStatsTable[[#This Row],[GroupByKey]]),(ContinuousStatsTable[GroupByKey]=ContinuousStatsTable[[#This Row],[GroupByKey]])*ContinuousStatsTable[Average]))</f>
        <v>0.81353380488452598</v>
      </c>
      <c r="T20" s="5" cm="1">
        <f t="array" ref="T20">MAX(IF((ContinuousStatsTable[GroupByKey]=ContinuousStatsTable[[#This Row],[GroupByKey]]),(ContinuousStatsTable[GroupByKey]=ContinuousStatsTable[[#This Row],[GroupByKey]])*ContinuousStatsTable[Average]))</f>
        <v>0.81353380488452598</v>
      </c>
      <c r="U20" s="5">
        <f>IF((ContinuousStatsTable[[#This Row],[RepsRequested]]&gt;1),ContinuousStatsTable[[#This Row],[HalfWidth]],ContinuousStatsTable[[#This Row],[BatchMeansHalfWidth]])</f>
        <v>2E+20</v>
      </c>
    </row>
    <row r="21" spans="1:21" x14ac:dyDescent="0.35">
      <c r="A21" t="s">
        <v>66</v>
      </c>
      <c r="B21" t="s">
        <v>69</v>
      </c>
      <c r="C21">
        <v>1</v>
      </c>
      <c r="D21" t="s">
        <v>97</v>
      </c>
      <c r="E21" t="s">
        <v>93</v>
      </c>
      <c r="F21" t="s">
        <v>92</v>
      </c>
      <c r="G21">
        <v>0.81353380488452598</v>
      </c>
      <c r="H21">
        <v>2E+20</v>
      </c>
      <c r="I21">
        <v>0</v>
      </c>
      <c r="J21">
        <v>1</v>
      </c>
      <c r="K21">
        <v>0</v>
      </c>
      <c r="L21">
        <v>0</v>
      </c>
      <c r="M21" s="5" t="str">
        <f>ContinuousStatsTable[[#This Row],[ProjectName]]&amp;ContinuousStatsTable[[#This Row],[Name]]&amp;ContinuousStatsTable[[#This Row],[Type]]&amp;ContinuousStatsTable[[#This Row],[Source]]</f>
        <v>Unnamed Projectws4Number BusyResource</v>
      </c>
      <c r="N21" s="5" cm="1">
        <f t="array" ref="N21">MAX(IF((ProjectInfoTable[ProjectName]=ContinuousStatsTable[[#This Row],[ProjectName]]),(ProjectInfoTable[ProjectName]=ContinuousStatsTable[[#This Row],[ProjectName]])*ProjectInfoTable[NumberOfReplications]))</f>
        <v>1</v>
      </c>
      <c r="O21" s="5" cm="1">
        <f t="array" ref="O21">IFERROR(AVERAGE(IF((ContinuousStatsTable[GroupByKey]=ContinuousStatsTable[[#This Row],[GroupByKey]]),(ContinuousStatsTable[GroupByKey]=ContinuousStatsTable[[#This Row],[GroupByKey]])*ContinuousStatsTable[Average])),0)</f>
        <v>0.81353380488452598</v>
      </c>
      <c r="P21" s="5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0</v>
      </c>
      <c r="Q21" s="5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1" s="5" cm="1">
        <f t="array" ref="S21">MIN(IF((ContinuousStatsTable[GroupByKey]=ContinuousStatsTable[[#This Row],[GroupByKey]]),(ContinuousStatsTable[GroupByKey]=ContinuousStatsTable[[#This Row],[GroupByKey]])*ContinuousStatsTable[Average]))</f>
        <v>0.81353380488452598</v>
      </c>
      <c r="T21" s="5" cm="1">
        <f t="array" ref="T21">MAX(IF((ContinuousStatsTable[GroupByKey]=ContinuousStatsTable[[#This Row],[GroupByKey]]),(ContinuousStatsTable[GroupByKey]=ContinuousStatsTable[[#This Row],[GroupByKey]])*ContinuousStatsTable[Average]))</f>
        <v>0.81353380488452598</v>
      </c>
      <c r="U21" s="5">
        <f>IF((ContinuousStatsTable[[#This Row],[RepsRequested]]&gt;1),ContinuousStatsTable[[#This Row],[HalfWidth]],ContinuousStatsTable[[#This Row],[BatchMeansHalfWidth]])</f>
        <v>2E+20</v>
      </c>
    </row>
    <row r="22" spans="1:21" x14ac:dyDescent="0.35">
      <c r="A22" t="s">
        <v>66</v>
      </c>
      <c r="B22" t="s">
        <v>69</v>
      </c>
      <c r="C22">
        <v>1</v>
      </c>
      <c r="D22" t="s">
        <v>97</v>
      </c>
      <c r="E22" t="s">
        <v>94</v>
      </c>
      <c r="F22" t="s">
        <v>92</v>
      </c>
      <c r="G22">
        <v>1</v>
      </c>
      <c r="H22">
        <v>2E+20</v>
      </c>
      <c r="I22">
        <v>1</v>
      </c>
      <c r="J22">
        <v>1</v>
      </c>
      <c r="K22">
        <v>1</v>
      </c>
      <c r="L22">
        <v>0</v>
      </c>
      <c r="M22" s="5" t="str">
        <f>ContinuousStatsTable[[#This Row],[ProjectName]]&amp;ContinuousStatsTable[[#This Row],[Name]]&amp;ContinuousStatsTable[[#This Row],[Type]]&amp;ContinuousStatsTable[[#This Row],[Source]]</f>
        <v>Unnamed Projectws4Number ScheduledResource</v>
      </c>
      <c r="N22" s="5" cm="1">
        <f t="array" ref="N22">MAX(IF((ProjectInfoTable[ProjectName]=ContinuousStatsTable[[#This Row],[ProjectName]]),(ProjectInfoTable[ProjectName]=ContinuousStatsTable[[#This Row],[ProjectName]])*ProjectInfoTable[NumberOfReplications]))</f>
        <v>1</v>
      </c>
      <c r="O22" s="5" cm="1">
        <f t="array" ref="O22">IFERROR(AVERAGE(IF((ContinuousStatsTable[GroupByKey]=ContinuousStatsTable[[#This Row],[GroupByKey]]),(ContinuousStatsTable[GroupByKey]=ContinuousStatsTable[[#This Row],[GroupByKey]])*ContinuousStatsTable[Average])),0)</f>
        <v>1</v>
      </c>
      <c r="P22" s="5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</v>
      </c>
      <c r="Q22" s="5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 s="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4E+20</v>
      </c>
      <c r="S22" s="5" cm="1">
        <f t="array" ref="S22">MIN(IF((ContinuousStatsTable[GroupByKey]=ContinuousStatsTable[[#This Row],[GroupByKey]]),(ContinuousStatsTable[GroupByKey]=ContinuousStatsTable[[#This Row],[GroupByKey]])*ContinuousStatsTable[Average]))</f>
        <v>1</v>
      </c>
      <c r="T22" s="5" cm="1">
        <f t="array" ref="T22">MAX(IF((ContinuousStatsTable[GroupByKey]=ContinuousStatsTable[[#This Row],[GroupByKey]]),(ContinuousStatsTable[GroupByKey]=ContinuousStatsTable[[#This Row],[GroupByKey]])*ContinuousStatsTable[Average]))</f>
        <v>1</v>
      </c>
      <c r="U22" s="5">
        <f>IF((ContinuousStatsTable[[#This Row],[RepsRequested]]&gt;1),ContinuousStatsTable[[#This Row],[HalfWidth]],ContinuousStatsTable[[#This Row],[BatchMeansHalfWidth]])</f>
        <v>2E+20</v>
      </c>
    </row>
  </sheetData>
  <phoneticPr fontId="2" type="noConversion"/>
  <conditionalFormatting sqref="H2:H22">
    <cfRule type="expression" dxfId="11" priority="9">
      <formula>H2=200000000000000000000</formula>
    </cfRule>
  </conditionalFormatting>
  <conditionalFormatting sqref="H2:H22">
    <cfRule type="expression" dxfId="10" priority="7">
      <formula>H2=300000000000000000000</formula>
    </cfRule>
  </conditionalFormatting>
  <conditionalFormatting sqref="M2:U22">
    <cfRule type="expression" dxfId="9" priority="5">
      <formula>MOD(ROW(),2)=0</formula>
    </cfRule>
  </conditionalFormatting>
  <conditionalFormatting sqref="U2:U22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22 U2:U22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7.08984375" bestFit="1" customWidth="1"/>
    <col min="6" max="6" width="8.7265625" bestFit="1" customWidth="1"/>
    <col min="7" max="7" width="15.81640625" bestFit="1" customWidth="1"/>
    <col min="8" max="8" width="13.36328125" bestFit="1" customWidth="1"/>
    <col min="9" max="9" width="16.08984375" bestFit="1" customWidth="1"/>
    <col min="10" max="10" width="9.81640625" bestFit="1" customWidth="1"/>
    <col min="11" max="11" width="18.81640625" bestFit="1" customWidth="1"/>
    <col min="12" max="12" width="19" bestFit="1" customWidth="1"/>
    <col min="13" max="13" width="11.6328125" bestFit="1" customWidth="1"/>
    <col min="14" max="14" width="11.1796875" bestFit="1" customWidth="1"/>
    <col min="15" max="15" width="11.54296875" bestFit="1" customWidth="1"/>
  </cols>
  <sheetData>
    <row r="1" spans="1:15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2"/>
  <sheetViews>
    <sheetView workbookViewId="0">
      <selection activeCell="A2" sqref="A2:H31"/>
    </sheetView>
  </sheetViews>
  <sheetFormatPr defaultRowHeight="14.5" x14ac:dyDescent="0.35"/>
  <cols>
    <col min="1" max="1" width="15.26953125" bestFit="1" customWidth="1"/>
    <col min="2" max="2" width="21.08984375" bestFit="1" customWidth="1"/>
    <col min="3" max="3" width="12.36328125" bestFit="1" customWidth="1"/>
    <col min="4" max="4" width="21.81640625" bestFit="1" customWidth="1"/>
    <col min="5" max="5" width="18.36328125" bestFit="1" customWidth="1"/>
    <col min="6" max="6" width="8.7265625" bestFit="1" customWidth="1"/>
    <col min="7" max="7" width="15.81640625" bestFit="1" customWidth="1"/>
    <col min="8" max="8" width="11.1796875" bestFit="1" customWidth="1"/>
    <col min="9" max="9" width="62.08984375" bestFit="1" customWidth="1"/>
    <col min="10" max="10" width="16.08984375" bestFit="1" customWidth="1"/>
    <col min="11" max="11" width="11.81640625" bestFit="1" customWidth="1"/>
    <col min="12" max="12" width="18.81640625" bestFit="1" customWidth="1"/>
    <col min="13" max="13" width="19" bestFit="1" customWidth="1"/>
    <col min="14" max="14" width="11.6328125" bestFit="1" customWidth="1"/>
    <col min="15" max="16" width="11.81640625" bestFit="1" customWidth="1"/>
  </cols>
  <sheetData>
    <row r="1" spans="1:16" x14ac:dyDescent="0.35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5">
      <c r="A2" t="s">
        <v>66</v>
      </c>
      <c r="B2" t="s">
        <v>69</v>
      </c>
      <c r="C2">
        <v>1</v>
      </c>
      <c r="D2" t="s">
        <v>98</v>
      </c>
      <c r="E2" t="s">
        <v>99</v>
      </c>
      <c r="F2" t="s">
        <v>100</v>
      </c>
      <c r="G2">
        <v>644</v>
      </c>
      <c r="H2">
        <v>0</v>
      </c>
      <c r="I2" t="str">
        <f>OutputTable[[#This Row],[ProjectName]]&amp;OutputTable[[#This Row],[Name]]&amp;OutputTable[[#This Row],[Type]]&amp;OutputTable[[#This Row],[Source]]</f>
        <v>Unnamed ProjectSystem.NumberOutNumber OutSystem</v>
      </c>
      <c r="J2" cm="1">
        <f t="array" ref="J2">MAX(IF((ProjectInfoTable[ProjectName]=OutputTable[[#This Row],[ProjectName]]),(ProjectInfoTable[ProjectName]=OutputTable[[#This Row],[ProjectName]])*ProjectInfoTable[NumberOfReplications]))</f>
        <v>1</v>
      </c>
      <c r="K2" cm="1">
        <f t="array" ref="K2">IFERROR(AVERAGE(IF((OutputTable[GroupByKey]=OutputTable[[#This Row],[GroupByKey]]),(OutputTable[GroupByKey]=OutputTable[[#This Row],[GroupByKey]])*OutputTable[RecordedValue])),0)</f>
        <v>644</v>
      </c>
      <c r="L2" cm="1">
        <f t="array" ref="L2">IFERROR(_xlfn.STDEV.S(IF((OutputTable[GroupByKey]=OutputTable[[#This Row],[GroupByKey]]),(OutputTable[GroupByKey]=OutputTable[[#This Row],[GroupByKey]])*OutputTable[RecordedValue])),0)</f>
        <v>0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2" cm="1">
        <f t="array" ref="O2">MIN(IF((OutputTable[GroupByKey]=OutputTable[[#This Row],[GroupByKey]]),(OutputTable[GroupByKey]=OutputTable[[#This Row],[GroupByKey]])*OutputTable[RecordedValue]))</f>
        <v>644</v>
      </c>
      <c r="P2" cm="1">
        <f t="array" ref="P2">MAX(IF((OutputTable[GroupByKey]=OutputTable[[#This Row],[GroupByKey]]),(OutputTable[GroupByKey]=OutputTable[[#This Row],[GroupByKey]])*OutputTable[RecordedValue]))</f>
        <v>644</v>
      </c>
    </row>
    <row r="3" spans="1:16" x14ac:dyDescent="0.35">
      <c r="A3" t="s">
        <v>66</v>
      </c>
      <c r="B3" t="s">
        <v>69</v>
      </c>
      <c r="C3">
        <v>1</v>
      </c>
      <c r="D3" t="s">
        <v>101</v>
      </c>
      <c r="E3" t="s">
        <v>102</v>
      </c>
      <c r="F3" t="s">
        <v>82</v>
      </c>
      <c r="G3">
        <v>657</v>
      </c>
      <c r="H3">
        <v>0</v>
      </c>
      <c r="I3" t="str">
        <f>OutputTable[[#This Row],[ProjectName]]&amp;OutputTable[[#This Row],[Name]]&amp;OutputTable[[#This Row],[Type]]&amp;OutputTable[[#This Row],[Source]]</f>
        <v>Unnamed Projectproduct.NumberInNumber InEntity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1</v>
      </c>
      <c r="K3" cm="1">
        <f t="array" ref="K3">IFERROR(AVERAGE(IF((OutputTable[GroupByKey]=OutputTable[[#This Row],[GroupByKey]]),(OutputTable[GroupByKey]=OutputTable[[#This Row],[GroupByKey]])*OutputTable[RecordedValue])),0)</f>
        <v>657</v>
      </c>
      <c r="L3" cm="1">
        <f t="array" ref="L3">IFERROR(_xlfn.STDEV.S(IF((OutputTable[GroupByKey]=OutputTable[[#This Row],[GroupByKey]]),(OutputTable[GroupByKey]=OutputTable[[#This Row],[GroupByKey]])*OutputTable[RecordedValue])),0)</f>
        <v>0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3" cm="1">
        <f t="array" ref="O3">MIN(IF((OutputTable[GroupByKey]=OutputTable[[#This Row],[GroupByKey]]),(OutputTable[GroupByKey]=OutputTable[[#This Row],[GroupByKey]])*OutputTable[RecordedValue]))</f>
        <v>657</v>
      </c>
      <c r="P3" cm="1">
        <f t="array" ref="P3">MAX(IF((OutputTable[GroupByKey]=OutputTable[[#This Row],[GroupByKey]]),(OutputTable[GroupByKey]=OutputTable[[#This Row],[GroupByKey]])*OutputTable[RecordedValue]))</f>
        <v>657</v>
      </c>
    </row>
    <row r="4" spans="1:16" x14ac:dyDescent="0.35">
      <c r="A4" t="s">
        <v>66</v>
      </c>
      <c r="B4" t="s">
        <v>69</v>
      </c>
      <c r="C4">
        <v>1</v>
      </c>
      <c r="D4" t="s">
        <v>103</v>
      </c>
      <c r="E4" t="s">
        <v>99</v>
      </c>
      <c r="F4" t="s">
        <v>82</v>
      </c>
      <c r="G4">
        <v>644</v>
      </c>
      <c r="H4">
        <v>0</v>
      </c>
      <c r="I4" t="str">
        <f>OutputTable[[#This Row],[ProjectName]]&amp;OutputTable[[#This Row],[Name]]&amp;OutputTable[[#This Row],[Type]]&amp;OutputTable[[#This Row],[Source]]</f>
        <v>Unnamed Projectproduct.NumberOutNumber OutEntity</v>
      </c>
      <c r="J4" cm="1">
        <f t="array" ref="J4">MAX(IF((ProjectInfoTable[ProjectName]=OutputTable[[#This Row],[ProjectName]]),(ProjectInfoTable[ProjectName]=OutputTable[[#This Row],[ProjectName]])*ProjectInfoTable[NumberOfReplications]))</f>
        <v>1</v>
      </c>
      <c r="K4" cm="1">
        <f t="array" ref="K4">IFERROR(AVERAGE(IF((OutputTable[GroupByKey]=OutputTable[[#This Row],[GroupByKey]]),(OutputTable[GroupByKey]=OutputTable[[#This Row],[GroupByKey]])*OutputTable[RecordedValue])),0)</f>
        <v>644</v>
      </c>
      <c r="L4" cm="1">
        <f t="array" ref="L4">IFERROR(_xlfn.STDEV.S(IF((OutputTable[GroupByKey]=OutputTable[[#This Row],[GroupByKey]]),(OutputTable[GroupByKey]=OutputTable[[#This Row],[GroupByKey]])*OutputTable[RecordedValue])),0)</f>
        <v>0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4" cm="1">
        <f t="array" ref="O4">MIN(IF((OutputTable[GroupByKey]=OutputTable[[#This Row],[GroupByKey]]),(OutputTable[GroupByKey]=OutputTable[[#This Row],[GroupByKey]])*OutputTable[RecordedValue]))</f>
        <v>644</v>
      </c>
      <c r="P4" cm="1">
        <f t="array" ref="P4">MAX(IF((OutputTable[GroupByKey]=OutputTable[[#This Row],[GroupByKey]]),(OutputTable[GroupByKey]=OutputTable[[#This Row],[GroupByKey]])*OutputTable[RecordedValue]))</f>
        <v>644</v>
      </c>
    </row>
    <row r="5" spans="1:16" x14ac:dyDescent="0.35">
      <c r="A5" t="s">
        <v>66</v>
      </c>
      <c r="B5" t="s">
        <v>69</v>
      </c>
      <c r="C5">
        <v>1</v>
      </c>
      <c r="D5" t="s">
        <v>104</v>
      </c>
      <c r="E5" t="s">
        <v>105</v>
      </c>
      <c r="F5" t="s">
        <v>92</v>
      </c>
      <c r="G5">
        <v>656</v>
      </c>
      <c r="H5">
        <v>0</v>
      </c>
      <c r="I5" t="str">
        <f>OutputTable[[#This Row],[ProjectName]]&amp;OutputTable[[#This Row],[Name]]&amp;OutputTable[[#This Row],[Type]]&amp;OutputTable[[#This Row],[Source]]</f>
        <v>Unnamed Projectws1.NumberSeizedTotal Number SeizedResource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1</v>
      </c>
      <c r="K5" cm="1">
        <f t="array" ref="K5">IFERROR(AVERAGE(IF((OutputTable[GroupByKey]=OutputTable[[#This Row],[GroupByKey]]),(OutputTable[GroupByKey]=OutputTable[[#This Row],[GroupByKey]])*OutputTable[RecordedValue])),0)</f>
        <v>656</v>
      </c>
      <c r="L5" cm="1">
        <f t="array" ref="L5">IFERROR(_xlfn.STDEV.S(IF((OutputTable[GroupByKey]=OutputTable[[#This Row],[GroupByKey]]),(OutputTable[GroupByKey]=OutputTable[[#This Row],[GroupByKey]])*OutputTable[RecordedValue])),0)</f>
        <v>0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5" cm="1">
        <f t="array" ref="O5">MIN(IF((OutputTable[GroupByKey]=OutputTable[[#This Row],[GroupByKey]]),(OutputTable[GroupByKey]=OutputTable[[#This Row],[GroupByKey]])*OutputTable[RecordedValue]))</f>
        <v>656</v>
      </c>
      <c r="P5" cm="1">
        <f t="array" ref="P5">MAX(IF((OutputTable[GroupByKey]=OutputTable[[#This Row],[GroupByKey]]),(OutputTable[GroupByKey]=OutputTable[[#This Row],[GroupByKey]])*OutputTable[RecordedValue]))</f>
        <v>656</v>
      </c>
    </row>
    <row r="6" spans="1:16" x14ac:dyDescent="0.35">
      <c r="A6" t="s">
        <v>66</v>
      </c>
      <c r="B6" t="s">
        <v>69</v>
      </c>
      <c r="C6">
        <v>1</v>
      </c>
      <c r="D6" t="s">
        <v>106</v>
      </c>
      <c r="E6" t="s">
        <v>107</v>
      </c>
      <c r="F6" t="s">
        <v>92</v>
      </c>
      <c r="G6">
        <v>0.87594827562242195</v>
      </c>
      <c r="H6">
        <v>0</v>
      </c>
      <c r="I6" t="str">
        <f>OutputTable[[#This Row],[ProjectName]]&amp;OutputTable[[#This Row],[Name]]&amp;OutputTable[[#This Row],[Type]]&amp;OutputTable[[#This Row],[Source]]</f>
        <v>Unnamed Projectws1.ScheduledUtilizationScheduled UtilizationResource</v>
      </c>
      <c r="J6" cm="1">
        <f t="array" ref="J6">MAX(IF((ProjectInfoTable[ProjectName]=OutputTable[[#This Row],[ProjectName]]),(ProjectInfoTable[ProjectName]=OutputTable[[#This Row],[ProjectName]])*ProjectInfoTable[NumberOfReplications]))</f>
        <v>1</v>
      </c>
      <c r="K6" cm="1">
        <f t="array" ref="K6">IFERROR(AVERAGE(IF((OutputTable[GroupByKey]=OutputTable[[#This Row],[GroupByKey]]),(OutputTable[GroupByKey]=OutputTable[[#This Row],[GroupByKey]])*OutputTable[RecordedValue])),0)</f>
        <v>0.87594827562242195</v>
      </c>
      <c r="L6" cm="1">
        <f t="array" ref="L6">IFERROR(_xlfn.STDEV.S(IF((OutputTable[GroupByKey]=OutputTable[[#This Row],[GroupByKey]]),(OutputTable[GroupByKey]=OutputTable[[#This Row],[GroupByKey]])*OutputTable[RecordedValue])),0)</f>
        <v>0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6" cm="1">
        <f t="array" ref="O6">MIN(IF((OutputTable[GroupByKey]=OutputTable[[#This Row],[GroupByKey]]),(OutputTable[GroupByKey]=OutputTable[[#This Row],[GroupByKey]])*OutputTable[RecordedValue]))</f>
        <v>0.87594827562242195</v>
      </c>
      <c r="P6" cm="1">
        <f t="array" ref="P6">MAX(IF((OutputTable[GroupByKey]=OutputTable[[#This Row],[GroupByKey]]),(OutputTable[GroupByKey]=OutputTable[[#This Row],[GroupByKey]])*OutputTable[RecordedValue]))</f>
        <v>0.87594827562242195</v>
      </c>
    </row>
    <row r="7" spans="1:16" x14ac:dyDescent="0.35">
      <c r="A7" t="s">
        <v>66</v>
      </c>
      <c r="B7" t="s">
        <v>69</v>
      </c>
      <c r="C7">
        <v>1</v>
      </c>
      <c r="D7" t="s">
        <v>108</v>
      </c>
      <c r="E7" t="s">
        <v>105</v>
      </c>
      <c r="F7" t="s">
        <v>92</v>
      </c>
      <c r="G7">
        <v>650</v>
      </c>
      <c r="H7">
        <v>0</v>
      </c>
      <c r="I7" t="str">
        <f>OutputTable[[#This Row],[ProjectName]]&amp;OutputTable[[#This Row],[Name]]&amp;OutputTable[[#This Row],[Type]]&amp;OutputTable[[#This Row],[Source]]</f>
        <v>Unnamed Projectws2.NumberSeizedTotal Number SeizedResource</v>
      </c>
      <c r="J7" cm="1">
        <f t="array" ref="J7">MAX(IF((ProjectInfoTable[ProjectName]=OutputTable[[#This Row],[ProjectName]]),(ProjectInfoTable[ProjectName]=OutputTable[[#This Row],[ProjectName]])*ProjectInfoTable[NumberOfReplications]))</f>
        <v>1</v>
      </c>
      <c r="K7" cm="1">
        <f t="array" ref="K7">IFERROR(AVERAGE(IF((OutputTable[GroupByKey]=OutputTable[[#This Row],[GroupByKey]]),(OutputTable[GroupByKey]=OutputTable[[#This Row],[GroupByKey]])*OutputTable[RecordedValue])),0)</f>
        <v>650</v>
      </c>
      <c r="L7" cm="1">
        <f t="array" ref="L7">IFERROR(_xlfn.STDEV.S(IF((OutputTable[GroupByKey]=OutputTable[[#This Row],[GroupByKey]]),(OutputTable[GroupByKey]=OutputTable[[#This Row],[GroupByKey]])*OutputTable[RecordedValue])),0)</f>
        <v>0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7" cm="1">
        <f t="array" ref="O7">MIN(IF((OutputTable[GroupByKey]=OutputTable[[#This Row],[GroupByKey]]),(OutputTable[GroupByKey]=OutputTable[[#This Row],[GroupByKey]])*OutputTable[RecordedValue]))</f>
        <v>650</v>
      </c>
      <c r="P7" cm="1">
        <f t="array" ref="P7">MAX(IF((OutputTable[GroupByKey]=OutputTable[[#This Row],[GroupByKey]]),(OutputTable[GroupByKey]=OutputTable[[#This Row],[GroupByKey]])*OutputTable[RecordedValue]))</f>
        <v>650</v>
      </c>
    </row>
    <row r="8" spans="1:16" x14ac:dyDescent="0.35">
      <c r="A8" t="s">
        <v>66</v>
      </c>
      <c r="B8" t="s">
        <v>69</v>
      </c>
      <c r="C8">
        <v>1</v>
      </c>
      <c r="D8" t="s">
        <v>109</v>
      </c>
      <c r="E8" t="s">
        <v>107</v>
      </c>
      <c r="F8" t="s">
        <v>92</v>
      </c>
      <c r="G8">
        <v>0.77826134577488204</v>
      </c>
      <c r="H8">
        <v>0</v>
      </c>
      <c r="I8" t="str">
        <f>OutputTable[[#This Row],[ProjectName]]&amp;OutputTable[[#This Row],[Name]]&amp;OutputTable[[#This Row],[Type]]&amp;OutputTable[[#This Row],[Source]]</f>
        <v>Unnamed Projectws2.ScheduledUtilizationScheduled UtilizationResource</v>
      </c>
      <c r="J8" cm="1">
        <f t="array" ref="J8">MAX(IF((ProjectInfoTable[ProjectName]=OutputTable[[#This Row],[ProjectName]]),(ProjectInfoTable[ProjectName]=OutputTable[[#This Row],[ProjectName]])*ProjectInfoTable[NumberOfReplications]))</f>
        <v>1</v>
      </c>
      <c r="K8" cm="1">
        <f t="array" ref="K8">IFERROR(AVERAGE(IF((OutputTable[GroupByKey]=OutputTable[[#This Row],[GroupByKey]]),(OutputTable[GroupByKey]=OutputTable[[#This Row],[GroupByKey]])*OutputTable[RecordedValue])),0)</f>
        <v>0.77826134577488204</v>
      </c>
      <c r="L8" cm="1">
        <f t="array" ref="L8">IFERROR(_xlfn.STDEV.S(IF((OutputTable[GroupByKey]=OutputTable[[#This Row],[GroupByKey]]),(OutputTable[GroupByKey]=OutputTable[[#This Row],[GroupByKey]])*OutputTable[RecordedValue])),0)</f>
        <v>0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8" cm="1">
        <f t="array" ref="O8">MIN(IF((OutputTable[GroupByKey]=OutputTable[[#This Row],[GroupByKey]]),(OutputTable[GroupByKey]=OutputTable[[#This Row],[GroupByKey]])*OutputTable[RecordedValue]))</f>
        <v>0.77826134577488204</v>
      </c>
      <c r="P8" cm="1">
        <f t="array" ref="P8">MAX(IF((OutputTable[GroupByKey]=OutputTable[[#This Row],[GroupByKey]]),(OutputTable[GroupByKey]=OutputTable[[#This Row],[GroupByKey]])*OutputTable[RecordedValue]))</f>
        <v>0.77826134577488204</v>
      </c>
    </row>
    <row r="9" spans="1:16" x14ac:dyDescent="0.35">
      <c r="A9" t="s">
        <v>66</v>
      </c>
      <c r="B9" t="s">
        <v>69</v>
      </c>
      <c r="C9">
        <v>1</v>
      </c>
      <c r="D9" t="s">
        <v>110</v>
      </c>
      <c r="E9" t="s">
        <v>105</v>
      </c>
      <c r="F9" t="s">
        <v>92</v>
      </c>
      <c r="G9">
        <v>645</v>
      </c>
      <c r="H9">
        <v>0</v>
      </c>
      <c r="I9" t="str">
        <f>OutputTable[[#This Row],[ProjectName]]&amp;OutputTable[[#This Row],[Name]]&amp;OutputTable[[#This Row],[Type]]&amp;OutputTable[[#This Row],[Source]]</f>
        <v>Unnamed Projectws3.NumberSeizedTotal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1</v>
      </c>
      <c r="K9" cm="1">
        <f t="array" ref="K9">IFERROR(AVERAGE(IF((OutputTable[GroupByKey]=OutputTable[[#This Row],[GroupByKey]]),(OutputTable[GroupByKey]=OutputTable[[#This Row],[GroupByKey]])*OutputTable[RecordedValue])),0)</f>
        <v>645</v>
      </c>
      <c r="L9" cm="1">
        <f t="array" ref="L9">IFERROR(_xlfn.STDEV.S(IF((OutputTable[GroupByKey]=OutputTable[[#This Row],[GroupByKey]]),(OutputTable[GroupByKey]=OutputTable[[#This Row],[GroupByKey]])*OutputTable[RecordedValue])),0)</f>
        <v>0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9" cm="1">
        <f t="array" ref="O9">MIN(IF((OutputTable[GroupByKey]=OutputTable[[#This Row],[GroupByKey]]),(OutputTable[GroupByKey]=OutputTable[[#This Row],[GroupByKey]])*OutputTable[RecordedValue]))</f>
        <v>645</v>
      </c>
      <c r="P9" cm="1">
        <f t="array" ref="P9">MAX(IF((OutputTable[GroupByKey]=OutputTable[[#This Row],[GroupByKey]]),(OutputTable[GroupByKey]=OutputTable[[#This Row],[GroupByKey]])*OutputTable[RecordedValue]))</f>
        <v>645</v>
      </c>
    </row>
    <row r="10" spans="1:16" x14ac:dyDescent="0.35">
      <c r="A10" t="s">
        <v>66</v>
      </c>
      <c r="B10" t="s">
        <v>69</v>
      </c>
      <c r="C10">
        <v>1</v>
      </c>
      <c r="D10" t="s">
        <v>111</v>
      </c>
      <c r="E10" t="s">
        <v>107</v>
      </c>
      <c r="F10" t="s">
        <v>92</v>
      </c>
      <c r="G10">
        <v>0.81634011722827604</v>
      </c>
      <c r="H10">
        <v>0</v>
      </c>
      <c r="I10" t="str">
        <f>OutputTable[[#This Row],[ProjectName]]&amp;OutputTable[[#This Row],[Name]]&amp;OutputTable[[#This Row],[Type]]&amp;OutputTable[[#This Row],[Source]]</f>
        <v>Unnamed Projectws3.ScheduledUtilizationScheduled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1</v>
      </c>
      <c r="K10" cm="1">
        <f t="array" ref="K10">IFERROR(AVERAGE(IF((OutputTable[GroupByKey]=OutputTable[[#This Row],[GroupByKey]]),(OutputTable[GroupByKey]=OutputTable[[#This Row],[GroupByKey]])*OutputTable[RecordedValue])),0)</f>
        <v>0.81634011722827604</v>
      </c>
      <c r="L10" cm="1">
        <f t="array" ref="L10">IFERROR(_xlfn.STDEV.S(IF((OutputTable[GroupByKey]=OutputTable[[#This Row],[GroupByKey]]),(OutputTable[GroupByKey]=OutputTable[[#This Row],[GroupByKey]])*OutputTable[RecordedValue])),0)</f>
        <v>0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0" cm="1">
        <f t="array" ref="O10">MIN(IF((OutputTable[GroupByKey]=OutputTable[[#This Row],[GroupByKey]]),(OutputTable[GroupByKey]=OutputTable[[#This Row],[GroupByKey]])*OutputTable[RecordedValue]))</f>
        <v>0.81634011722827604</v>
      </c>
      <c r="P10" cm="1">
        <f t="array" ref="P10">MAX(IF((OutputTable[GroupByKey]=OutputTable[[#This Row],[GroupByKey]]),(OutputTable[GroupByKey]=OutputTable[[#This Row],[GroupByKey]])*OutputTable[RecordedValue]))</f>
        <v>0.81634011722827604</v>
      </c>
    </row>
    <row r="11" spans="1:16" x14ac:dyDescent="0.35">
      <c r="A11" t="s">
        <v>66</v>
      </c>
      <c r="B11" t="s">
        <v>69</v>
      </c>
      <c r="C11">
        <v>1</v>
      </c>
      <c r="D11" t="s">
        <v>112</v>
      </c>
      <c r="E11" t="s">
        <v>105</v>
      </c>
      <c r="F11" t="s">
        <v>92</v>
      </c>
      <c r="G11">
        <v>644</v>
      </c>
      <c r="H11">
        <v>0</v>
      </c>
      <c r="I11" t="str">
        <f>OutputTable[[#This Row],[ProjectName]]&amp;OutputTable[[#This Row],[Name]]&amp;OutputTable[[#This Row],[Type]]&amp;OutputTable[[#This Row],[Source]]</f>
        <v>Unnamed Projectws4.NumberSeizedTotal Number SeizedResource</v>
      </c>
      <c r="J11" cm="1">
        <f t="array" ref="J11">MAX(IF((ProjectInfoTable[ProjectName]=OutputTable[[#This Row],[ProjectName]]),(ProjectInfoTable[ProjectName]=OutputTable[[#This Row],[ProjectName]])*ProjectInfoTable[NumberOfReplications]))</f>
        <v>1</v>
      </c>
      <c r="K11" cm="1">
        <f t="array" ref="K11">IFERROR(AVERAGE(IF((OutputTable[GroupByKey]=OutputTable[[#This Row],[GroupByKey]]),(OutputTable[GroupByKey]=OutputTable[[#This Row],[GroupByKey]])*OutputTable[RecordedValue])),0)</f>
        <v>644</v>
      </c>
      <c r="L11" cm="1">
        <f t="array" ref="L11">IFERROR(_xlfn.STDEV.S(IF((OutputTable[GroupByKey]=OutputTable[[#This Row],[GroupByKey]]),(OutputTable[GroupByKey]=OutputTable[[#This Row],[GroupByKey]])*OutputTable[RecordedValue])),0)</f>
        <v>0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1" cm="1">
        <f t="array" ref="O11">MIN(IF((OutputTable[GroupByKey]=OutputTable[[#This Row],[GroupByKey]]),(OutputTable[GroupByKey]=OutputTable[[#This Row],[GroupByKey]])*OutputTable[RecordedValue]))</f>
        <v>644</v>
      </c>
      <c r="P11" cm="1">
        <f t="array" ref="P11">MAX(IF((OutputTable[GroupByKey]=OutputTable[[#This Row],[GroupByKey]]),(OutputTable[GroupByKey]=OutputTable[[#This Row],[GroupByKey]])*OutputTable[RecordedValue]))</f>
        <v>644</v>
      </c>
    </row>
    <row r="12" spans="1:16" x14ac:dyDescent="0.35">
      <c r="A12" t="s">
        <v>66</v>
      </c>
      <c r="B12" t="s">
        <v>69</v>
      </c>
      <c r="C12">
        <v>1</v>
      </c>
      <c r="D12" t="s">
        <v>113</v>
      </c>
      <c r="E12" t="s">
        <v>107</v>
      </c>
      <c r="F12" t="s">
        <v>92</v>
      </c>
      <c r="G12">
        <v>0.81353380488452598</v>
      </c>
      <c r="H12">
        <v>0</v>
      </c>
      <c r="I12" t="str">
        <f>OutputTable[[#This Row],[ProjectName]]&amp;OutputTable[[#This Row],[Name]]&amp;OutputTable[[#This Row],[Type]]&amp;OutputTable[[#This Row],[Source]]</f>
        <v>Unnamed Projectws4.ScheduledUtilizationScheduled UtilizationResource</v>
      </c>
      <c r="J12" cm="1">
        <f t="array" ref="J12">MAX(IF((ProjectInfoTable[ProjectName]=OutputTable[[#This Row],[ProjectName]]),(ProjectInfoTable[ProjectName]=OutputTable[[#This Row],[ProjectName]])*ProjectInfoTable[NumberOfReplications]))</f>
        <v>1</v>
      </c>
      <c r="K12" cm="1">
        <f t="array" ref="K12">IFERROR(AVERAGE(IF((OutputTable[GroupByKey]=OutputTable[[#This Row],[GroupByKey]]),(OutputTable[GroupByKey]=OutputTable[[#This Row],[GroupByKey]])*OutputTable[RecordedValue])),0)</f>
        <v>0.81353380488452598</v>
      </c>
      <c r="L12" cm="1">
        <f t="array" ref="L12">IFERROR(_xlfn.STDEV.S(IF((OutputTable[GroupByKey]=OutputTable[[#This Row],[GroupByKey]]),(OutputTable[GroupByKey]=OutputTable[[#This Row],[GroupByKey]])*OutputTable[RecordedValue])),0)</f>
        <v>0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4E+20</v>
      </c>
      <c r="O12" cm="1">
        <f t="array" ref="O12">MIN(IF((OutputTable[GroupByKey]=OutputTable[[#This Row],[GroupByKey]]),(OutputTable[GroupByKey]=OutputTable[[#This Row],[GroupByKey]])*OutputTable[RecordedValue]))</f>
        <v>0.81353380488452598</v>
      </c>
      <c r="P12" cm="1">
        <f t="array" ref="P12">MAX(IF((OutputTable[GroupByKey]=OutputTable[[#This Row],[GroupByKey]]),(OutputTable[GroupByKey]=OutputTable[[#This Row],[GroupByKey]])*OutputTable[RecordedValue]))</f>
        <v>0.81353380488452598</v>
      </c>
    </row>
  </sheetData>
  <phoneticPr fontId="2" type="noConversion"/>
  <conditionalFormatting sqref="I2:P12">
    <cfRule type="expression" dxfId="3" priority="2">
      <formula>MOD(ROW(),2)=0</formula>
    </cfRule>
  </conditionalFormatting>
  <conditionalFormatting sqref="N2:N12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31"/>
  <sheetViews>
    <sheetView workbookViewId="0">
      <selection activeCell="A2" sqref="A2"/>
    </sheetView>
  </sheetViews>
  <sheetFormatPr defaultRowHeight="14.5" x14ac:dyDescent="0.35"/>
  <cols>
    <col min="1" max="1" width="14" bestFit="1" customWidth="1"/>
    <col min="2" max="2" width="21.08984375" bestFit="1" customWidth="1"/>
    <col min="3" max="3" width="12.36328125" bestFit="1" customWidth="1"/>
    <col min="4" max="4" width="8" bestFit="1" customWidth="1"/>
    <col min="5" max="5" width="10.54296875" bestFit="1" customWidth="1"/>
    <col min="6" max="6" width="8.7265625" bestFit="1" customWidth="1"/>
    <col min="7" max="7" width="20.26953125" bestFit="1" customWidth="1"/>
    <col min="8" max="8" width="21.08984375" bestFit="1" customWidth="1"/>
    <col min="9" max="9" width="23.1796875" bestFit="1" customWidth="1"/>
    <col min="10" max="10" width="24.54296875" bestFit="1" customWidth="1"/>
    <col min="11" max="11" width="15" bestFit="1" customWidth="1"/>
    <col min="12" max="12" width="13.36328125" bestFit="1" customWidth="1"/>
    <col min="13" max="13" width="28.36328125" bestFit="1" customWidth="1"/>
    <col min="14" max="14" width="29.1796875" bestFit="1" customWidth="1"/>
    <col min="15" max="15" width="16.08984375" bestFit="1" customWidth="1"/>
    <col min="16" max="16" width="27.08984375" bestFit="1" customWidth="1"/>
    <col min="17" max="17" width="28" bestFit="1" customWidth="1"/>
    <col min="18" max="18" width="29.26953125" bestFit="1" customWidth="1"/>
    <col min="19" max="19" width="28.26953125" bestFit="1" customWidth="1"/>
    <col min="20" max="20" width="26.26953125" bestFit="1" customWidth="1"/>
    <col min="21" max="21" width="29.81640625" bestFit="1" customWidth="1"/>
    <col min="22" max="22" width="31.81640625" bestFit="1" customWidth="1"/>
    <col min="23" max="23" width="32.1796875" bestFit="1" customWidth="1"/>
  </cols>
  <sheetData>
    <row r="1" spans="1:17" x14ac:dyDescent="0.35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17" spans="2:2" x14ac:dyDescent="0.35">
      <c r="B17" s="3"/>
    </row>
    <row r="18" spans="2:2" x14ac:dyDescent="0.35">
      <c r="B18" s="3"/>
    </row>
    <row r="19" spans="2:2" x14ac:dyDescent="0.35">
      <c r="B19" s="3"/>
    </row>
    <row r="20" spans="2:2" x14ac:dyDescent="0.35">
      <c r="B20" s="3"/>
    </row>
    <row r="21" spans="2:2" x14ac:dyDescent="0.35">
      <c r="B21" s="3"/>
    </row>
    <row r="22" spans="2:2" x14ac:dyDescent="0.35">
      <c r="B22" s="3"/>
    </row>
    <row r="23" spans="2:2" x14ac:dyDescent="0.35">
      <c r="B23" s="3"/>
    </row>
    <row r="24" spans="2:2" x14ac:dyDescent="0.35">
      <c r="B24" s="3"/>
    </row>
    <row r="25" spans="2:2" x14ac:dyDescent="0.35">
      <c r="B25" s="3"/>
    </row>
    <row r="26" spans="2:2" x14ac:dyDescent="0.35">
      <c r="B26" s="3"/>
    </row>
    <row r="27" spans="2:2" x14ac:dyDescent="0.35">
      <c r="B27" s="3"/>
    </row>
    <row r="28" spans="2:2" x14ac:dyDescent="0.35">
      <c r="B28" s="3"/>
    </row>
    <row r="29" spans="2:2" x14ac:dyDescent="0.35">
      <c r="B29" s="3"/>
    </row>
    <row r="30" spans="2:2" x14ac:dyDescent="0.35">
      <c r="B30" s="3"/>
    </row>
    <row r="31" spans="2:2" x14ac:dyDescent="0.35">
      <c r="B31" s="3"/>
    </row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Kalkylblad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Bashir Adlan</cp:lastModifiedBy>
  <cp:lastPrinted>2022-03-22T10:33:10Z</cp:lastPrinted>
  <dcterms:created xsi:type="dcterms:W3CDTF">2020-06-29T21:30:31Z</dcterms:created>
  <dcterms:modified xsi:type="dcterms:W3CDTF">2026-07-23T13:48:46Z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