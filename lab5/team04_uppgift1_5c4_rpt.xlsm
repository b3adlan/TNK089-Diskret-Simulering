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ashe\Downloads\ÅK3\TNK089 Diskret Simulering\Laborationer\"/>
    </mc:Choice>
  </mc:AlternateContent>
  <xr:revisionPtr revIDLastSave="0" documentId="13_ncr:1_{83A9398F-142D-4D19-9487-3C851CB8A348}" xr6:coauthVersionLast="47" xr6:coauthVersionMax="47" xr10:uidLastSave="{00000000-0000-0000-0000-000000000000}"/>
  <bookViews>
    <workbookView xWindow="-110" yWindow="-110" windowWidth="19420" windowHeight="103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ContinuousTimeStatsByRep!$A$1:$L$22</definedName>
    <definedName name="ExternalData_1" localSheetId="4" hidden="1">CounterStatsByRep!$A$1:$G$2</definedName>
    <definedName name="ExternalData_1" localSheetId="2" hidden="1">DiscreteTimeStatsByRep!$A$1:$K$16</definedName>
    <definedName name="ExternalData_1" localSheetId="6" hidden="1">FrequencyStatsByRep!$A$1:$K$2</definedName>
    <definedName name="ExternalData_1" localSheetId="5" hidden="1">OutputStatsByRep!$A$1:$H$12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P6" i="20" s="1" a="1"/>
  <c r="I3" i="20"/>
  <c r="I4" i="20"/>
  <c r="I5" i="20"/>
  <c r="I6" i="20"/>
  <c r="I7" i="20"/>
  <c r="I8" i="20"/>
  <c r="P8" i="20" s="1" a="1"/>
  <c r="I9" i="20"/>
  <c r="P9" i="20" s="1" a="1"/>
  <c r="I10" i="20"/>
  <c r="P10" i="20" s="1" a="1"/>
  <c r="I11" i="20"/>
  <c r="P11" i="20" s="1" a="1"/>
  <c r="I12" i="20"/>
  <c r="P12" i="20" s="1" a="1"/>
  <c r="J2" i="20" a="1"/>
  <c r="J3" i="20" a="1"/>
  <c r="J4" i="20" a="1"/>
  <c r="J5" i="20" a="1"/>
  <c r="J6" i="20" a="1"/>
  <c r="J7" i="20" a="1"/>
  <c r="J8" i="20" a="1"/>
  <c r="J9" i="20" a="1"/>
  <c r="J10" i="20" a="1"/>
  <c r="J11" i="20" a="1"/>
  <c r="J12" i="20" a="1"/>
  <c r="K2" i="20" a="1"/>
  <c r="K3" i="20" a="1"/>
  <c r="K4" i="20" a="1"/>
  <c r="K5" i="20" a="1"/>
  <c r="K6" i="20" a="1"/>
  <c r="K7" i="20" a="1"/>
  <c r="K8" i="20" a="1"/>
  <c r="K9" i="20" a="1"/>
  <c r="K10" i="20" a="1"/>
  <c r="K11" i="20" a="1"/>
  <c r="K12" i="20" a="1"/>
  <c r="L2" i="20" a="1"/>
  <c r="L3" i="20" a="1"/>
  <c r="L4" i="20" a="1"/>
  <c r="L5" i="20" a="1"/>
  <c r="L6" i="20" a="1"/>
  <c r="L7" i="20" a="1"/>
  <c r="L8" i="20" a="1"/>
  <c r="L9" i="20" a="1"/>
  <c r="L10" i="20" a="1"/>
  <c r="L11" i="20" a="1"/>
  <c r="L12" i="20" a="1"/>
  <c r="M2" i="20" a="1"/>
  <c r="M3" i="20" a="1"/>
  <c r="M4" i="20" a="1"/>
  <c r="M5" i="20" a="1"/>
  <c r="M6" i="20" a="1"/>
  <c r="M7" i="20" a="1"/>
  <c r="M8" i="20" a="1"/>
  <c r="M9" i="20" a="1"/>
  <c r="M10" i="20" a="1"/>
  <c r="M11" i="20" a="1"/>
  <c r="M12" i="20" a="1"/>
  <c r="N2" i="20"/>
  <c r="N3" i="20"/>
  <c r="N4" i="20"/>
  <c r="N5" i="20"/>
  <c r="N6" i="20"/>
  <c r="N7" i="20"/>
  <c r="N8" i="20"/>
  <c r="N9" i="20"/>
  <c r="N10" i="20"/>
  <c r="N11" i="20"/>
  <c r="N12" i="20"/>
  <c r="O2" i="20" a="1"/>
  <c r="O3" i="20" a="1"/>
  <c r="O4" i="20" a="1"/>
  <c r="O5" i="20" a="1"/>
  <c r="O6" i="20" a="1"/>
  <c r="O7" i="20" a="1"/>
  <c r="O8" i="20" a="1"/>
  <c r="O9" i="20" a="1"/>
  <c r="O10" i="20" a="1"/>
  <c r="O11" i="20" a="1"/>
  <c r="O12" i="20" a="1"/>
  <c r="P2" i="20" a="1"/>
  <c r="P3" i="20" a="1"/>
  <c r="P4" i="20" a="1"/>
  <c r="P5" i="20" a="1"/>
  <c r="M2" i="18"/>
  <c r="M3" i="18"/>
  <c r="M4" i="18"/>
  <c r="P6" i="18" s="1" a="1"/>
  <c r="R6" i="18" s="1"/>
  <c r="M5" i="18"/>
  <c r="M6" i="18"/>
  <c r="M7" i="18"/>
  <c r="M8" i="18"/>
  <c r="M9" i="18"/>
  <c r="T9" i="18" s="1" a="1"/>
  <c r="M10" i="18"/>
  <c r="T10" i="18" s="1" a="1"/>
  <c r="M11" i="18"/>
  <c r="M12" i="18"/>
  <c r="M13" i="18"/>
  <c r="M14" i="18"/>
  <c r="M15" i="18"/>
  <c r="M16" i="18"/>
  <c r="M17" i="18"/>
  <c r="M18" i="18"/>
  <c r="M19" i="18"/>
  <c r="M20" i="18"/>
  <c r="M21" i="18"/>
  <c r="M22" i="18"/>
  <c r="N2" i="18" a="1"/>
  <c r="N3" i="18" a="1"/>
  <c r="N4" i="18" a="1"/>
  <c r="N5" i="18" a="1"/>
  <c r="U5" i="18" s="1"/>
  <c r="N6" i="18" a="1"/>
  <c r="U6" i="18" s="1"/>
  <c r="N7" i="18" a="1"/>
  <c r="U7" i="18" s="1"/>
  <c r="N8" i="18" a="1"/>
  <c r="U8" i="18" s="1"/>
  <c r="N9" i="18" a="1"/>
  <c r="U9" i="18" s="1"/>
  <c r="N10" i="18" a="1"/>
  <c r="U10" i="18" s="1"/>
  <c r="N11" i="18" a="1"/>
  <c r="U11" i="18" s="1"/>
  <c r="N12" i="18" a="1"/>
  <c r="U12" i="18" s="1"/>
  <c r="N13" i="18" a="1"/>
  <c r="U13" i="18" s="1"/>
  <c r="N14" i="18" a="1"/>
  <c r="U14" i="18" s="1"/>
  <c r="N15" i="18" a="1"/>
  <c r="U15" i="18" s="1"/>
  <c r="N16" i="18" a="1"/>
  <c r="U16" i="18" s="1"/>
  <c r="N17" i="18" a="1"/>
  <c r="U17" i="18" s="1"/>
  <c r="N18" i="18" a="1"/>
  <c r="U18" i="18" s="1"/>
  <c r="N19" i="18" a="1"/>
  <c r="U19" i="18" s="1"/>
  <c r="N20" i="18" a="1"/>
  <c r="U20" i="18" s="1"/>
  <c r="N21" i="18" a="1"/>
  <c r="U21" i="18" s="1"/>
  <c r="N22" i="18" a="1"/>
  <c r="U22" i="18" s="1"/>
  <c r="O2" i="18" a="1"/>
  <c r="O3" i="18" a="1"/>
  <c r="O4" i="18" a="1"/>
  <c r="O5" i="18" a="1"/>
  <c r="O6" i="18" a="1"/>
  <c r="O7" i="18" a="1"/>
  <c r="O8" i="18" a="1"/>
  <c r="O9" i="18" a="1"/>
  <c r="O10" i="18" a="1"/>
  <c r="O11" i="18" a="1"/>
  <c r="O12" i="18" a="1"/>
  <c r="O13" i="18" a="1"/>
  <c r="O14" i="18" a="1"/>
  <c r="O15" i="18" a="1"/>
  <c r="O16" i="18" a="1"/>
  <c r="O17" i="18" a="1"/>
  <c r="O18" i="18" a="1"/>
  <c r="O19" i="18" a="1"/>
  <c r="O20" i="18" a="1"/>
  <c r="O21" i="18" a="1"/>
  <c r="O22" i="18" a="1"/>
  <c r="P2" i="18" a="1"/>
  <c r="P3" i="18" a="1"/>
  <c r="P4" i="18" a="1"/>
  <c r="P7" i="18" a="1"/>
  <c r="P8" i="18" a="1"/>
  <c r="P9" i="18" a="1"/>
  <c r="P10" i="18" a="1"/>
  <c r="P11" i="18" a="1"/>
  <c r="P12" i="18" a="1"/>
  <c r="P13" i="18" a="1"/>
  <c r="P14" i="18" a="1"/>
  <c r="P15" i="18" a="1"/>
  <c r="P16" i="18" a="1"/>
  <c r="P17" i="18" a="1"/>
  <c r="P18" i="18" a="1"/>
  <c r="P19" i="18" a="1"/>
  <c r="P20" i="18" a="1"/>
  <c r="P21" i="18" a="1"/>
  <c r="P22" i="18" a="1"/>
  <c r="Q2" i="18" a="1"/>
  <c r="R2" i="18" s="1"/>
  <c r="Q3" i="18" a="1"/>
  <c r="Q4" i="18" a="1"/>
  <c r="Q5" i="18" a="1"/>
  <c r="Q6" i="18" a="1"/>
  <c r="Q7" i="18" a="1"/>
  <c r="Q8" i="18" a="1"/>
  <c r="Q9" i="18" a="1"/>
  <c r="Q10" i="18" a="1"/>
  <c r="Q11" i="18" a="1"/>
  <c r="Q12" i="18" a="1"/>
  <c r="Q13" i="18" a="1"/>
  <c r="Q14" i="18" a="1"/>
  <c r="Q15" i="18" a="1"/>
  <c r="Q16" i="18" a="1"/>
  <c r="Q17" i="18" a="1"/>
  <c r="Q18" i="18" a="1"/>
  <c r="Q19" i="18" a="1"/>
  <c r="Q20" i="18" a="1"/>
  <c r="Q21" i="18" a="1"/>
  <c r="Q22" i="18" a="1"/>
  <c r="S2" i="18" a="1"/>
  <c r="S3" i="18" a="1"/>
  <c r="S4" i="18" a="1"/>
  <c r="S5" i="18" a="1"/>
  <c r="S6" i="18" a="1"/>
  <c r="S7" i="18" a="1"/>
  <c r="S8" i="18" a="1"/>
  <c r="S9" i="18" a="1"/>
  <c r="S10" i="18" a="1"/>
  <c r="S11" i="18" a="1"/>
  <c r="S12" i="18" a="1"/>
  <c r="S13" i="18" a="1"/>
  <c r="S14" i="18" a="1"/>
  <c r="S15" i="18" a="1"/>
  <c r="S16" i="18" a="1"/>
  <c r="S17" i="18" a="1"/>
  <c r="S18" i="18" a="1"/>
  <c r="S19" i="18" a="1"/>
  <c r="S20" i="18" a="1"/>
  <c r="S21" i="18" a="1"/>
  <c r="S22" i="18" a="1"/>
  <c r="T2" i="18" a="1"/>
  <c r="T3" i="18" a="1"/>
  <c r="T4" i="18" a="1"/>
  <c r="T5" i="18" a="1"/>
  <c r="T6" i="18" a="1"/>
  <c r="T7" i="18" a="1"/>
  <c r="T11" i="18" a="1"/>
  <c r="T12" i="18" a="1"/>
  <c r="T13" i="18" a="1"/>
  <c r="T14" i="18" a="1"/>
  <c r="T15" i="18" a="1"/>
  <c r="T16" i="18" a="1"/>
  <c r="T17" i="18" a="1"/>
  <c r="T18" i="18" a="1"/>
  <c r="T19" i="18" a="1"/>
  <c r="T20" i="18" a="1"/>
  <c r="T21" i="18" a="1"/>
  <c r="T22" i="18" a="1"/>
  <c r="U2" i="18"/>
  <c r="U3" i="18"/>
  <c r="U4" i="18"/>
  <c r="L2" i="17"/>
  <c r="L3" i="17"/>
  <c r="U2" i="17" s="1" a="1"/>
  <c r="L4" i="17"/>
  <c r="L6" i="17"/>
  <c r="L13" i="17"/>
  <c r="L14" i="17"/>
  <c r="L15" i="17"/>
  <c r="L16" i="17"/>
  <c r="O16" i="17" s="1" a="1"/>
  <c r="L5" i="17"/>
  <c r="O5" i="17" s="1" a="1"/>
  <c r="L7" i="17"/>
  <c r="O7" i="17" s="1" a="1"/>
  <c r="L8" i="17"/>
  <c r="O8" i="17" s="1" a="1"/>
  <c r="L9" i="17"/>
  <c r="O9" i="17" s="1" a="1"/>
  <c r="L10" i="17"/>
  <c r="O10" i="17" s="1" a="1"/>
  <c r="L11" i="17"/>
  <c r="O11" i="17" s="1" a="1"/>
  <c r="L12" i="17"/>
  <c r="O12" i="17" s="1" a="1"/>
  <c r="M2" i="17" a="1"/>
  <c r="W2" i="17" s="1"/>
  <c r="M3" i="17" a="1"/>
  <c r="W3" i="17" s="1"/>
  <c r="M4" i="17" a="1"/>
  <c r="W4" i="17" s="1"/>
  <c r="M6" i="17" a="1"/>
  <c r="W6" i="17" s="1"/>
  <c r="M13" i="17" a="1"/>
  <c r="W13" i="17" s="1"/>
  <c r="M14" i="17" a="1"/>
  <c r="W14" i="17" s="1"/>
  <c r="M15" i="17" a="1"/>
  <c r="W15" i="17" s="1"/>
  <c r="M16" i="17" a="1"/>
  <c r="W16" i="17" s="1"/>
  <c r="M5" i="17" a="1"/>
  <c r="W5" i="17" s="1"/>
  <c r="M7" i="17" a="1"/>
  <c r="W7" i="17" s="1"/>
  <c r="M8" i="17" a="1"/>
  <c r="W8" i="17" s="1"/>
  <c r="M9" i="17" a="1"/>
  <c r="W9" i="17" s="1"/>
  <c r="M10" i="17" a="1"/>
  <c r="W10" i="17" s="1"/>
  <c r="M11" i="17" a="1"/>
  <c r="W11" i="17" s="1"/>
  <c r="M12" i="17" a="1"/>
  <c r="W12" i="17" s="1"/>
  <c r="N2" i="17" a="1"/>
  <c r="N3" i="17" a="1"/>
  <c r="N4" i="17" a="1"/>
  <c r="N6" i="17" a="1"/>
  <c r="N13" i="17" a="1"/>
  <c r="N14" i="17" a="1"/>
  <c r="N15" i="17" a="1"/>
  <c r="N16" i="17" a="1"/>
  <c r="N5" i="17" a="1"/>
  <c r="N7" i="17" a="1"/>
  <c r="N8" i="17" a="1"/>
  <c r="N9" i="17" a="1"/>
  <c r="N10" i="17" a="1"/>
  <c r="N11" i="17" a="1"/>
  <c r="N12" i="17" a="1"/>
  <c r="O2" i="17" a="1"/>
  <c r="O3" i="17" a="1"/>
  <c r="O4" i="17" a="1"/>
  <c r="O6" i="17" a="1"/>
  <c r="O13" i="17" a="1"/>
  <c r="P2" i="17" a="1"/>
  <c r="P3" i="17" a="1"/>
  <c r="P4" i="17" a="1"/>
  <c r="P6" i="17" a="1"/>
  <c r="P13" i="17" a="1"/>
  <c r="P14" i="17" a="1"/>
  <c r="P15" i="17" a="1"/>
  <c r="P16" i="17" a="1"/>
  <c r="P5" i="17" a="1"/>
  <c r="P7" i="17" a="1"/>
  <c r="P8" i="17" a="1"/>
  <c r="P9" i="17" a="1"/>
  <c r="P10" i="17" a="1"/>
  <c r="P11" i="17" a="1"/>
  <c r="P12" i="17" a="1"/>
  <c r="R3" i="17" a="1"/>
  <c r="R4" i="17" a="1"/>
  <c r="R6" i="17" a="1"/>
  <c r="R13" i="17" a="1"/>
  <c r="R14" i="17" a="1"/>
  <c r="R15" i="17" a="1"/>
  <c r="R16" i="17" a="1"/>
  <c r="R5" i="17" a="1"/>
  <c r="R7" i="17" a="1"/>
  <c r="R8" i="17" a="1"/>
  <c r="R9" i="17" a="1"/>
  <c r="R10" i="17" a="1"/>
  <c r="R11" i="17" a="1"/>
  <c r="R12" i="17" a="1"/>
  <c r="S2" i="17" a="1"/>
  <c r="S3" i="17" a="1"/>
  <c r="S4" i="17" a="1"/>
  <c r="S6" i="17" a="1"/>
  <c r="S13" i="17" a="1"/>
  <c r="S14" i="17" a="1"/>
  <c r="S15" i="17" a="1"/>
  <c r="S16" i="17" a="1"/>
  <c r="S5" i="17" a="1"/>
  <c r="S7" i="17" a="1"/>
  <c r="S8" i="17" a="1"/>
  <c r="S9" i="17" a="1"/>
  <c r="S10" i="17" a="1"/>
  <c r="S11" i="17" a="1"/>
  <c r="S12" i="17" a="1"/>
  <c r="T2" i="17" a="1"/>
  <c r="T3" i="17" a="1"/>
  <c r="T4" i="17" a="1"/>
  <c r="T6" i="17" a="1"/>
  <c r="T13" i="17" a="1"/>
  <c r="T14" i="17" a="1"/>
  <c r="T15" i="17" a="1"/>
  <c r="T16" i="17" a="1"/>
  <c r="T5" i="17" a="1"/>
  <c r="T7" i="17" a="1"/>
  <c r="T8" i="17" a="1"/>
  <c r="T9" i="17" a="1"/>
  <c r="T10" i="17" a="1"/>
  <c r="U3" i="17" a="1"/>
  <c r="U4" i="17" a="1"/>
  <c r="U6" i="17" a="1"/>
  <c r="U13" i="17" a="1"/>
  <c r="U14" i="17" a="1"/>
  <c r="V3" i="17" a="1"/>
  <c r="V4" i="17" a="1"/>
  <c r="V6" i="17" a="1"/>
  <c r="V13" i="17" a="1"/>
  <c r="V14" i="17" a="1"/>
  <c r="V15" i="17" a="1"/>
  <c r="V16" i="17" a="1"/>
  <c r="V5" i="17" a="1"/>
  <c r="V7" i="17" a="1"/>
  <c r="V8" i="17" a="1"/>
  <c r="V9" i="17" a="1"/>
  <c r="X4" i="17" a="1"/>
  <c r="X6" i="17" a="1"/>
  <c r="X13" i="17" a="1"/>
  <c r="X14" i="17" a="1"/>
  <c r="X15" i="17" a="1"/>
  <c r="X16" i="17" a="1"/>
  <c r="X5" i="17" a="1"/>
  <c r="X7" i="17" a="1"/>
  <c r="X8" i="17" a="1"/>
  <c r="X9" i="17" a="1"/>
  <c r="X10" i="17" a="1"/>
  <c r="X11" i="17" a="1"/>
  <c r="Y11" i="17" s="1"/>
  <c r="X12" i="17" a="1"/>
  <c r="Y12" i="17" s="1"/>
  <c r="Y4" i="17"/>
  <c r="Y6" i="17"/>
  <c r="Y13" i="17"/>
  <c r="Y14" i="17"/>
  <c r="Y15" i="17"/>
  <c r="Y16" i="17"/>
  <c r="Y5" i="17"/>
  <c r="Y7" i="17"/>
  <c r="Y8" i="17"/>
  <c r="Y9" i="17"/>
  <c r="Y10" i="17"/>
  <c r="G2" i="16"/>
  <c r="P7" i="20" l="1" a="1"/>
  <c r="R3" i="18"/>
  <c r="R15" i="18"/>
  <c r="R21" i="18"/>
  <c r="R7" i="18"/>
  <c r="R8" i="18"/>
  <c r="R9" i="18"/>
  <c r="R10" i="18"/>
  <c r="R11" i="18"/>
  <c r="R12" i="18"/>
  <c r="R16" i="18"/>
  <c r="R20" i="18"/>
  <c r="R14" i="18"/>
  <c r="R19" i="18"/>
  <c r="R13" i="18"/>
  <c r="R18" i="18"/>
  <c r="R4" i="18"/>
  <c r="R17" i="18"/>
  <c r="R22" i="18"/>
  <c r="P5" i="18" a="1"/>
  <c r="R5" i="18" s="1"/>
  <c r="T8" i="18" a="1"/>
  <c r="V10" i="17" a="1"/>
  <c r="V11" i="17" a="1"/>
  <c r="O14" i="17" a="1"/>
  <c r="O15" i="17" a="1"/>
  <c r="T11" i="17" a="1"/>
  <c r="T12" i="17" a="1"/>
  <c r="V2" i="17" a="1"/>
  <c r="Q11" i="17"/>
  <c r="Q12" i="17"/>
  <c r="Q4" i="17"/>
  <c r="Q6" i="17"/>
  <c r="Q13" i="17"/>
  <c r="Q14" i="17"/>
  <c r="Q15" i="17"/>
  <c r="Q16" i="17"/>
  <c r="Q5" i="17"/>
  <c r="Q7" i="17"/>
  <c r="Q8" i="17"/>
  <c r="Q9" i="17"/>
  <c r="Q10" i="17"/>
  <c r="R2" i="17" a="1"/>
  <c r="X2" i="17" a="1"/>
  <c r="Y2" i="17" s="1"/>
  <c r="Q2" i="17" s="1"/>
  <c r="X3" i="17" a="1"/>
  <c r="Y3" i="17" s="1"/>
  <c r="Q3" i="17" s="1"/>
  <c r="U12" i="17" a="1"/>
  <c r="V12" i="17" a="1"/>
  <c r="U15" i="17" a="1"/>
  <c r="U16" i="17" a="1"/>
  <c r="U5" i="17" a="1"/>
  <c r="U7" i="17" a="1"/>
  <c r="U8" i="17" a="1"/>
  <c r="U9" i="17" a="1"/>
  <c r="U10" i="17" a="1"/>
  <c r="U11" i="17" a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bashe\downloads\åk3\tnk089 diskret simulering\laborationer\team04_uppgift1_5c4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bashe\downloads\åk3\tnk089 diskret simulering\laborationer\team04_uppgift1_5c4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bashe\downloads\åk3\tnk089 diskret simulering\laborationer\team04_uppgift1_5c4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bashe\downloads\åk3\tnk089 diskret simulering\laborationer\team04_uppgift1_5c4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bashe\downloads\åk3\tnk089 diskret simulering\laborationer\team04_uppgift1_5c4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bashe\downloads\åk3\tnk089 diskret simulering\laborationer\team04_uppgift1_5c4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<sst xmlns="http://schemas.openxmlformats.org/spreadsheetml/2006/main" count="531" uniqueCount="118">
  <si>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</si>
  <si>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</si>
  <si>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</si>
  <si>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</si>
  <si>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</si>
  <si>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</si>
  <si>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</si>
  <si>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</si>
  <si>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</si>
  <si>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</si>
  <si>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</si>
  <si>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</si>
  <si>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</si>
  <si>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</si>
  <si>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</si>
  <si>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</si>
  <si>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</si>
  <si>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</si>
  <si>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</si>
  <si>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</si>
  <si>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</si>
  <si>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</si>
  <si>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</si>
  <si>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</si>
  <si>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</si>
  <si>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</si>
  <si>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</si>
  <si>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</si>
  <si>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</si>
  <si>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</si>
  <si>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</si>
  <si>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</si>
  <si>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</si>
  <si>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</si>
  <si>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</si>
  <si>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</si>
  <si>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</si>
  <si>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</si>
  <si>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</si>
  <si>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</si>
  <si>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</si>
  <si>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</si>
  <si>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</si>
  <si>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</si>
  <si>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</si>
  <si>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</si>
  <si>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</si>
  <si>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</si>
  <si>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</si>
  <si>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</si>
  <si>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</si>
  <si>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</si>
  <si>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</si>
  <si>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</si>
  <si>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</si>
  <si>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</si>
  <si>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</si>
  <si>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</si>
  <si>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</si>
  <si>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</si>
  <si>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</si>
  <si>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</si>
  <si>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</si>
  <si>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</si>
  <si>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</si>
  <si>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</si>
  <si>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</si>
  <si>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</si>
  <si>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C:\Users\bashe\Downloads\ÅK3\TNK089 Diskret Simulering\Laborationer\team04_uppgift1_5c4.p</t>
  </si>
  <si>
    <t>2026-07-23 21:36:46</t>
  </si>
  <si>
    <t>Access ws1.Queue</t>
  </si>
  <si>
    <t>Waiting Time</t>
  </si>
  <si>
    <t>Queue</t>
  </si>
  <si>
    <t>Access ws2.Queue</t>
  </si>
  <si>
    <t>Access ws3.Queue</t>
  </si>
  <si>
    <t>Hold.Queue</t>
  </si>
  <si>
    <t>Seize ws1.Queue</t>
  </si>
  <si>
    <t>Seize ws2.Queue</t>
  </si>
  <si>
    <t>Seize ws3.Queue</t>
  </si>
  <si>
    <t>Seize ws4.Queue</t>
  </si>
  <si>
    <t>c4</t>
  </si>
  <si>
    <t>Interval</t>
  </si>
  <si>
    <t>User Specified</t>
  </si>
  <si>
    <t>product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</si>
  <si>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</si>
  <si>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</si>
  <si>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</si>
  <si>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</si>
  <si>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</si>
  <si>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</si>
  <si>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</si>
  <si>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Number Waiting</t>
  </si>
  <si>
    <t>WIP</t>
  </si>
  <si>
    <t>ws1</t>
  </si>
  <si>
    <t>Instantaneous Utilization</t>
  </si>
  <si>
    <t>Resource</t>
  </si>
  <si>
    <t>Number Busy</t>
  </si>
  <si>
    <t>Number Scheduled</t>
  </si>
  <si>
    <t>ws2</t>
  </si>
  <si>
    <t>ws3</t>
  </si>
  <si>
    <t>ws4</t>
  </si>
  <si>
    <t>System.NumberOut</t>
  </si>
  <si>
    <t>Number Out</t>
  </si>
  <si>
    <t>System</t>
  </si>
  <si>
    <t>product.NumberIn</t>
  </si>
  <si>
    <t>Number In</t>
  </si>
  <si>
    <t>product.NumberOut</t>
  </si>
  <si>
    <t>ws1.NumberSeized</t>
  </si>
  <si>
    <t>Total Number Seized</t>
  </si>
  <si>
    <t>ws1.ScheduledUtilization</t>
  </si>
  <si>
    <t>Scheduled Utilization</t>
  </si>
  <si>
    <t>ws2.NumberSeized</t>
  </si>
  <si>
    <t>ws2.ScheduledUtilization</t>
  </si>
  <si>
    <t>ws3.NumberSeized</t>
  </si>
  <si>
    <t>ws3.ScheduledUtilization</t>
  </si>
  <si>
    <t>ws4.NumberSeized</t>
  </si>
  <si>
    <t>ws4.ScheduledUtilization</t>
  </si>
  <si>
    <t>(tom)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</si>
</sst>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900688425929" createdVersion="7" refreshedVersion="8" minRefreshableVersion="3" recordCount="21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7">
        <s v="Access ws1.Queue"/>
        <s v="Access ws2.Queue"/>
        <s v="Access ws3.Queue"/>
        <s v="Hold.Queue"/>
        <s v="Seize ws1.Queue"/>
        <s v="Seize ws2.Queue"/>
        <s v="Seize ws3.Queue"/>
        <s v="Seize ws4.Queue"/>
        <s v="product"/>
        <s v="ws1"/>
        <s v="ws2"/>
        <s v="ws3"/>
        <s v="ws4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3.0279663115086501E-2" maxValue="12.4723535198366"/>
    </cacheField>
    <cacheField name="BatchMeansHalfWidth" numFmtId="0">
      <sharedItems containsSemiMixedTypes="0" containsString="0" containsNumber="1" minValue="2.3856456025175702E-3" maxValue="3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21"/>
    </cacheField>
    <cacheField name="LastRecordedValue" numFmtId="0">
      <sharedItems containsSemiMixedTypes="0" containsString="0" containsNumber="1" containsInteger="1" minValue="0" maxValue="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3.0279663115086501E-2" maxValue="12.4723535198366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3.0279663115086501E-2" maxValue="12.4723535198366"/>
    </cacheField>
    <cacheField name="MaximumAverage" numFmtId="0">
      <sharedItems containsSemiMixedTypes="0" containsString="0" containsNumber="1" minValue="3.0279663115086501E-2" maxValue="12.4723535198366"/>
    </cacheField>
    <cacheField name="SummaryHalfWidth" numFmtId="0">
      <sharedItems containsSemiMixedTypes="0" containsString="0" containsNumber="1" minValue="2.3856456025175702E-3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900688657406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900688773145" createdVersion="7" refreshedVersion="8" minRefreshableVersion="3" recordCount="1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9">
        <s v="Access ws1.Queue"/>
        <s v="Access ws2.Queue"/>
        <s v="Access ws3.Queue"/>
        <s v="c4"/>
        <s v="Hold.Queue"/>
        <s v="product"/>
        <s v="Seize ws1.Queue"/>
        <s v="Seize ws2.Queue"/>
        <s v="Seize ws3.Queue"/>
        <s v="Seize ws4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Interval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</sharedItems>
    </cacheField>
    <cacheField name="Source" numFmtId="0">
      <sharedItems containsBlank="1" count="5">
        <s v="Queue"/>
        <s v="User Specified"/>
        <s v="Entity"/>
        <m u="1"/>
        <s v="Process" u="1"/>
      </sharedItems>
    </cacheField>
    <cacheField name="Average" numFmtId="0">
      <sharedItems containsSemiMixedTypes="0" containsString="0" containsNumber="1" minValue="0" maxValue="5109.8688874324498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76.298170496047504"/>
    </cacheField>
    <cacheField name="Maximum" numFmtId="0">
      <sharedItems containsSemiMixedTypes="0" containsString="0" containsNumber="1" minValue="0" maxValue="9997.3091933782598"/>
    </cacheField>
    <cacheField name="NumberObservations" numFmtId="0">
      <sharedItems containsSemiMixedTypes="0" containsString="0" containsNumber="1" containsInteger="1" minValue="642" maxValue="653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5109.8688874324498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5109.8688874324498"/>
    </cacheField>
    <cacheField name="MaximumAverage" numFmtId="0">
      <sharedItems containsSemiMixedTypes="0" containsString="0" containsNumber="1" minValue="0" maxValue="5109.8688874324498"/>
    </cacheField>
    <cacheField name="OverallMinimum" numFmtId="0">
      <sharedItems containsSemiMixedTypes="0" containsString="0" containsNumber="1" minValue="0" maxValue="76.298170496047504"/>
    </cacheField>
    <cacheField name="OverallMaximum" numFmtId="0">
      <sharedItems containsSemiMixedTypes="0" containsString="0" containsNumber="1" minValue="0" maxValue="9997.3091933782598"/>
    </cacheField>
    <cacheField name="AverageNumberObservations" numFmtId="0">
      <sharedItems containsSemiMixedTypes="0" containsString="0" containsNumber="1" containsInteger="1" minValue="642" maxValue="653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900689120368" createdVersion="7" refreshedVersion="8" minRefreshableVersion="3" recordCount="11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9">
        <s v="System.NumberOut"/>
        <s v="product.NumberIn"/>
        <s v="product.NumberOut"/>
        <s v="ws1.NumberSeized"/>
        <s v="ws1.ScheduledUtilization"/>
        <s v="ws2.NumberSeized"/>
        <s v="ws2.ScheduledUtilization"/>
        <s v="ws3.NumberSeized"/>
        <s v="ws3.ScheduledUtilization"/>
        <s v="ws4.NumberSeized"/>
        <s v="ws4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Out"/>
        <s v="Number In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System"/>
        <s v="Entity"/>
        <s v="Resource"/>
        <m u="1"/>
        <s v="Process" u="1"/>
      </sharedItems>
    </cacheField>
    <cacheField name="RecordedValue" numFmtId="0">
      <sharedItems containsSemiMixedTypes="0" containsString="0" containsNumber="1" minValue="0.76251011580628503" maxValue="65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76251011580628503" maxValue="65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76251011580628503" maxValue="650"/>
    </cacheField>
    <cacheField name="Maximum" numFmtId="0">
      <sharedItems containsSemiMixedTypes="0" containsString="0" containsNumber="1" minValue="0.76251011580628503" maxValue="6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900689351853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s v="2026-07-23 21:36:46"/>
    <n v="1"/>
    <x v="0"/>
    <x v="0"/>
    <x v="0"/>
    <n v="7.8403484734672804E-2"/>
    <n v="3E+20"/>
    <n v="0"/>
    <n v="1"/>
    <n v="0"/>
    <n v="0"/>
    <s v="Unnamed ProjectAccess ws1.QueueNumber WaitingQueue"/>
    <n v="1"/>
    <n v="7.8403484734672804E-2"/>
    <n v="0"/>
    <n v="0.95"/>
    <n v="4E+20"/>
    <n v="7.8403484734672804E-2"/>
    <n v="7.8403484734672804E-2"/>
    <n v="3E+20"/>
  </r>
  <r>
    <x v="0"/>
    <s v="2026-07-23 21:36:46"/>
    <n v="1"/>
    <x v="1"/>
    <x v="0"/>
    <x v="0"/>
    <n v="0.178846585012403"/>
    <n v="3E+20"/>
    <n v="0"/>
    <n v="1"/>
    <n v="0"/>
    <n v="0"/>
    <s v="Unnamed ProjectAccess ws2.QueueNumber WaitingQueue"/>
    <n v="1"/>
    <n v="0.178846585012403"/>
    <n v="0"/>
    <n v="0.95"/>
    <n v="4E+20"/>
    <n v="0.178846585012403"/>
    <n v="0.178846585012403"/>
    <n v="3E+20"/>
  </r>
  <r>
    <x v="0"/>
    <s v="2026-07-23 21:36:46"/>
    <n v="1"/>
    <x v="2"/>
    <x v="0"/>
    <x v="0"/>
    <n v="3.0279663115086501E-2"/>
    <n v="2.3856456025175702E-3"/>
    <n v="0"/>
    <n v="1"/>
    <n v="0"/>
    <n v="0"/>
    <s v="Unnamed ProjectAccess ws3.QueueNumber WaitingQueue"/>
    <n v="1"/>
    <n v="3.0279663115086501E-2"/>
    <n v="0"/>
    <n v="0.95"/>
    <n v="4E+20"/>
    <n v="3.0279663115086501E-2"/>
    <n v="3.0279663115086501E-2"/>
    <n v="2.3856456025175702E-3"/>
  </r>
  <r>
    <x v="0"/>
    <s v="2026-07-23 21:36:46"/>
    <n v="1"/>
    <x v="3"/>
    <x v="0"/>
    <x v="0"/>
    <n v="0.85422822953898603"/>
    <n v="2E+20"/>
    <n v="0"/>
    <n v="1"/>
    <n v="1"/>
    <n v="0"/>
    <s v="Unnamed ProjectHold.QueueNumber WaitingQueue"/>
    <n v="1"/>
    <n v="0.85422822953898603"/>
    <n v="0"/>
    <n v="0.95"/>
    <n v="4E+20"/>
    <n v="0.85422822953898603"/>
    <n v="0.85422822953898603"/>
    <n v="2E+20"/>
  </r>
  <r>
    <x v="0"/>
    <s v="2026-07-23 21:36:46"/>
    <n v="1"/>
    <x v="4"/>
    <x v="0"/>
    <x v="0"/>
    <n v="0.145771770461013"/>
    <n v="2E+20"/>
    <n v="0"/>
    <n v="1"/>
    <n v="0"/>
    <n v="0"/>
    <s v="Unnamed ProjectSeize ws1.QueueNumber WaitingQueue"/>
    <n v="1"/>
    <n v="0.145771770461013"/>
    <n v="0"/>
    <n v="0.95"/>
    <n v="4E+20"/>
    <n v="0.145771770461013"/>
    <n v="0.145771770461013"/>
    <n v="2E+20"/>
  </r>
  <r>
    <x v="0"/>
    <s v="2026-07-23 21:36:46"/>
    <n v="1"/>
    <x v="5"/>
    <x v="0"/>
    <x v="0"/>
    <n v="0.54560179229834604"/>
    <n v="3E+20"/>
    <n v="0"/>
    <n v="1"/>
    <n v="0"/>
    <n v="0"/>
    <s v="Unnamed ProjectSeize ws2.QueueNumber WaitingQueue"/>
    <n v="1"/>
    <n v="0.54560179229834604"/>
    <n v="0"/>
    <n v="0.95"/>
    <n v="4E+20"/>
    <n v="0.54560179229834604"/>
    <n v="0.54560179229834604"/>
    <n v="3E+20"/>
  </r>
  <r>
    <x v="0"/>
    <s v="2026-07-23 21:36:46"/>
    <n v="1"/>
    <x v="6"/>
    <x v="0"/>
    <x v="0"/>
    <n v="0.761230519237445"/>
    <n v="3E+20"/>
    <n v="0"/>
    <n v="1"/>
    <n v="1"/>
    <n v="0"/>
    <s v="Unnamed ProjectSeize ws3.QueueNumber WaitingQueue"/>
    <n v="1"/>
    <n v="0.761230519237445"/>
    <n v="0"/>
    <n v="0.95"/>
    <n v="4E+20"/>
    <n v="0.761230519237445"/>
    <n v="0.761230519237445"/>
    <n v="3E+20"/>
  </r>
  <r>
    <x v="0"/>
    <s v="2026-07-23 21:36:46"/>
    <n v="1"/>
    <x v="7"/>
    <x v="0"/>
    <x v="0"/>
    <n v="0.46167573368517001"/>
    <n v="0.103751540344709"/>
    <n v="0"/>
    <n v="1"/>
    <n v="1"/>
    <n v="0"/>
    <s v="Unnamed ProjectSeize ws4.QueueNumber WaitingQueue"/>
    <n v="1"/>
    <n v="0.46167573368517001"/>
    <n v="0"/>
    <n v="0.95"/>
    <n v="4E+20"/>
    <n v="0.46167573368517001"/>
    <n v="0.46167573368517001"/>
    <n v="0.103751540344709"/>
  </r>
  <r>
    <x v="0"/>
    <s v="2026-07-23 21:36:46"/>
    <n v="1"/>
    <x v="8"/>
    <x v="1"/>
    <x v="1"/>
    <n v="12.4723535198366"/>
    <n v="3E+20"/>
    <n v="0"/>
    <n v="21"/>
    <n v="8"/>
    <n v="0"/>
    <s v="Unnamed ProjectproductWIPEntity"/>
    <n v="1"/>
    <n v="12.4723535198366"/>
    <n v="0"/>
    <n v="0.95"/>
    <n v="4E+20"/>
    <n v="12.4723535198366"/>
    <n v="12.4723535198366"/>
    <n v="3E+20"/>
  </r>
  <r>
    <x v="0"/>
    <s v="2026-07-23 21:36:46"/>
    <n v="1"/>
    <x v="9"/>
    <x v="2"/>
    <x v="2"/>
    <n v="0.85422822953898603"/>
    <n v="2E+20"/>
    <n v="0"/>
    <n v="1"/>
    <n v="1"/>
    <n v="0"/>
    <s v="Unnamed Projectws1Instantaneous UtilizationResource"/>
    <n v="1"/>
    <n v="0.85422822953898603"/>
    <n v="0"/>
    <n v="0.95"/>
    <n v="4E+20"/>
    <n v="0.85422822953898603"/>
    <n v="0.85422822953898603"/>
    <n v="2E+20"/>
  </r>
  <r>
    <x v="0"/>
    <s v="2026-07-23 21:36:46"/>
    <n v="1"/>
    <x v="9"/>
    <x v="3"/>
    <x v="2"/>
    <n v="0.85422822953898603"/>
    <n v="2E+20"/>
    <n v="0"/>
    <n v="1"/>
    <n v="1"/>
    <n v="0"/>
    <s v="Unnamed Projectws1Number BusyResource"/>
    <n v="1"/>
    <n v="0.85422822953898603"/>
    <n v="0"/>
    <n v="0.95"/>
    <n v="4E+20"/>
    <n v="0.85422822953898603"/>
    <n v="0.85422822953898603"/>
    <n v="2E+20"/>
  </r>
  <r>
    <x v="0"/>
    <s v="2026-07-23 21:36:46"/>
    <n v="1"/>
    <x v="9"/>
    <x v="4"/>
    <x v="2"/>
    <n v="1"/>
    <n v="2E+20"/>
    <n v="1"/>
    <n v="1"/>
    <n v="1"/>
    <n v="0"/>
    <s v="Unnamed Projectws1Number ScheduledResource"/>
    <n v="1"/>
    <n v="1"/>
    <n v="0"/>
    <n v="0.95"/>
    <n v="4E+20"/>
    <n v="1"/>
    <n v="1"/>
    <n v="2E+20"/>
  </r>
  <r>
    <x v="0"/>
    <s v="2026-07-23 21:36:46"/>
    <n v="1"/>
    <x v="10"/>
    <x v="2"/>
    <x v="2"/>
    <n v="0.76251011580628503"/>
    <n v="3E+20"/>
    <n v="0"/>
    <n v="1"/>
    <n v="0"/>
    <n v="0"/>
    <s v="Unnamed Projectws2Instantaneous UtilizationResource"/>
    <n v="1"/>
    <n v="0.76251011580628503"/>
    <n v="0"/>
    <n v="0.95"/>
    <n v="4E+20"/>
    <n v="0.76251011580628503"/>
    <n v="0.76251011580628503"/>
    <n v="3E+20"/>
  </r>
  <r>
    <x v="0"/>
    <s v="2026-07-23 21:36:46"/>
    <n v="1"/>
    <x v="10"/>
    <x v="3"/>
    <x v="2"/>
    <n v="0.76251011580628503"/>
    <n v="3E+20"/>
    <n v="0"/>
    <n v="1"/>
    <n v="0"/>
    <n v="0"/>
    <s v="Unnamed Projectws2Number BusyResource"/>
    <n v="1"/>
    <n v="0.76251011580628503"/>
    <n v="0"/>
    <n v="0.95"/>
    <n v="4E+20"/>
    <n v="0.76251011580628503"/>
    <n v="0.76251011580628503"/>
    <n v="3E+20"/>
  </r>
  <r>
    <x v="0"/>
    <s v="2026-07-23 21:36:46"/>
    <n v="1"/>
    <x v="10"/>
    <x v="4"/>
    <x v="2"/>
    <n v="1"/>
    <n v="2E+20"/>
    <n v="1"/>
    <n v="1"/>
    <n v="1"/>
    <n v="0"/>
    <s v="Unnamed Projectws2Number ScheduledResource"/>
    <n v="1"/>
    <n v="1"/>
    <n v="0"/>
    <n v="0.95"/>
    <n v="4E+20"/>
    <n v="1"/>
    <n v="1"/>
    <n v="2E+20"/>
  </r>
  <r>
    <x v="0"/>
    <s v="2026-07-23 21:36:46"/>
    <n v="1"/>
    <x v="11"/>
    <x v="2"/>
    <x v="2"/>
    <n v="0.80267194052608704"/>
    <n v="2E+20"/>
    <n v="0"/>
    <n v="1"/>
    <n v="0"/>
    <n v="0"/>
    <s v="Unnamed Projectws3Instantaneous UtilizationResource"/>
    <n v="1"/>
    <n v="0.80267194052608704"/>
    <n v="0"/>
    <n v="0.95"/>
    <n v="4E+20"/>
    <n v="0.80267194052608704"/>
    <n v="0.80267194052608704"/>
    <n v="2E+20"/>
  </r>
  <r>
    <x v="0"/>
    <s v="2026-07-23 21:36:46"/>
    <n v="1"/>
    <x v="11"/>
    <x v="3"/>
    <x v="2"/>
    <n v="0.80267194052608704"/>
    <n v="2E+20"/>
    <n v="0"/>
    <n v="1"/>
    <n v="0"/>
    <n v="0"/>
    <s v="Unnamed Projectws3Number BusyResource"/>
    <n v="1"/>
    <n v="0.80267194052608704"/>
    <n v="0"/>
    <n v="0.95"/>
    <n v="4E+20"/>
    <n v="0.80267194052608704"/>
    <n v="0.80267194052608704"/>
    <n v="2E+20"/>
  </r>
  <r>
    <x v="0"/>
    <s v="2026-07-23 21:36:46"/>
    <n v="1"/>
    <x v="11"/>
    <x v="4"/>
    <x v="2"/>
    <n v="1"/>
    <n v="2E+20"/>
    <n v="1"/>
    <n v="1"/>
    <n v="1"/>
    <n v="0"/>
    <s v="Unnamed Projectws3Number ScheduledResource"/>
    <n v="1"/>
    <n v="1"/>
    <n v="0"/>
    <n v="0.95"/>
    <n v="4E+20"/>
    <n v="1"/>
    <n v="1"/>
    <n v="2E+20"/>
  </r>
  <r>
    <x v="0"/>
    <s v="2026-07-23 21:36:46"/>
    <n v="1"/>
    <x v="12"/>
    <x v="2"/>
    <x v="2"/>
    <n v="0.81293270404755202"/>
    <n v="2E+20"/>
    <n v="0"/>
    <n v="1"/>
    <n v="1"/>
    <n v="0"/>
    <s v="Unnamed Projectws4Instantaneous UtilizationResource"/>
    <n v="1"/>
    <n v="0.81293270404755202"/>
    <n v="0"/>
    <n v="0.95"/>
    <n v="4E+20"/>
    <n v="0.81293270404755202"/>
    <n v="0.81293270404755202"/>
    <n v="2E+20"/>
  </r>
  <r>
    <x v="0"/>
    <s v="2026-07-23 21:36:46"/>
    <n v="1"/>
    <x v="12"/>
    <x v="3"/>
    <x v="2"/>
    <n v="0.81293270404755202"/>
    <n v="2E+20"/>
    <n v="0"/>
    <n v="1"/>
    <n v="1"/>
    <n v="0"/>
    <s v="Unnamed Projectws4Number BusyResource"/>
    <n v="1"/>
    <n v="0.81293270404755202"/>
    <n v="0"/>
    <n v="0.95"/>
    <n v="4E+20"/>
    <n v="0.81293270404755202"/>
    <n v="0.81293270404755202"/>
    <n v="2E+20"/>
  </r>
  <r>
    <x v="0"/>
    <s v="2026-07-23 21:36:46"/>
    <n v="1"/>
    <x v="12"/>
    <x v="4"/>
    <x v="2"/>
    <n v="1"/>
    <n v="2E+20"/>
    <n v="1"/>
    <n v="1"/>
    <n v="1"/>
    <n v="0"/>
    <s v="Unnamed Projectws4Number ScheduledResource"/>
    <n v="1"/>
    <n v="1"/>
    <n v="0"/>
    <n v="0.95"/>
    <n v="4E+20"/>
    <n v="1"/>
    <n v="1"/>
    <n v="2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s v="2026-07-23 21:36:46"/>
    <n v="1"/>
    <x v="0"/>
    <x v="0"/>
    <x v="0"/>
    <n v="1.2099303199795199"/>
    <n v="3E+20"/>
    <n v="0"/>
    <n v="85.247562070168897"/>
    <n v="648"/>
    <s v="Unnamed ProjectAccess ws1.QueueWaiting TimeQueue"/>
    <n v="1"/>
    <n v="1.2099303199795199"/>
    <n v="0"/>
    <n v="0.95"/>
    <n v="4E+20"/>
    <n v="1.2099303199795199"/>
    <n v="1.2099303199795199"/>
    <n v="0"/>
    <n v="85.247562070168897"/>
    <n v="648"/>
    <n v="3E+20"/>
    <n v="1"/>
    <n v="1"/>
  </r>
  <r>
    <x v="0"/>
    <s v="2026-07-23 21:36:46"/>
    <n v="1"/>
    <x v="1"/>
    <x v="0"/>
    <x v="0"/>
    <n v="2.7388450997305198"/>
    <n v="3E+20"/>
    <n v="0"/>
    <n v="100.651044566403"/>
    <n v="653"/>
    <s v="Unnamed ProjectAccess ws2.QueueWaiting TimeQueue"/>
    <n v="1"/>
    <n v="2.7388450997305198"/>
    <n v="0"/>
    <n v="0.95"/>
    <n v="4E+20"/>
    <n v="2.7388450997305198"/>
    <n v="2.7388450997305198"/>
    <n v="0"/>
    <n v="100.651044566403"/>
    <n v="653"/>
    <n v="3E+20"/>
    <n v="1"/>
    <n v="1"/>
  </r>
  <r>
    <x v="0"/>
    <s v="2026-07-23 21:36:46"/>
    <n v="1"/>
    <x v="2"/>
    <x v="0"/>
    <x v="0"/>
    <n v="0.47018110427152998"/>
    <n v="2.4554553651491898E-2"/>
    <n v="0"/>
    <n v="0.97996130223327804"/>
    <n v="644"/>
    <s v="Unnamed ProjectAccess ws3.QueueWaiting TimeQueue"/>
    <n v="1"/>
    <n v="0.47018110427152998"/>
    <n v="0"/>
    <n v="0.95"/>
    <n v="4E+20"/>
    <n v="0.47018110427152998"/>
    <n v="0.47018110427152998"/>
    <n v="0"/>
    <n v="0.97996130223327804"/>
    <n v="644"/>
    <n v="2.4554553651491898E-2"/>
    <n v="1"/>
    <n v="1"/>
  </r>
  <r>
    <x v="0"/>
    <s v="2026-07-23 21:36:46"/>
    <n v="1"/>
    <x v="3"/>
    <x v="1"/>
    <x v="1"/>
    <n v="5109.8688874324498"/>
    <n v="3E+20"/>
    <n v="76.298170496047504"/>
    <n v="9997.3091933782598"/>
    <n v="642"/>
    <s v="Unnamed Projectc4IntervalUser Specified"/>
    <n v="1"/>
    <n v="5109.8688874324498"/>
    <n v="0"/>
    <n v="0.95"/>
    <n v="4E+20"/>
    <n v="5109.8688874324498"/>
    <n v="5109.8688874324498"/>
    <n v="76.298170496047504"/>
    <n v="9997.3091933782598"/>
    <n v="642"/>
    <n v="3E+20"/>
    <n v="1"/>
    <n v="1"/>
  </r>
  <r>
    <x v="0"/>
    <s v="2026-07-23 21:36:46"/>
    <n v="1"/>
    <x v="4"/>
    <x v="0"/>
    <x v="0"/>
    <n v="13.158217938900799"/>
    <n v="0.63497775759661201"/>
    <n v="0"/>
    <n v="99"/>
    <n v="649"/>
    <s v="Unnamed ProjectHold.QueueWaiting TimeQueue"/>
    <n v="1"/>
    <n v="13.158217938900799"/>
    <n v="0"/>
    <n v="0.95"/>
    <n v="4E+20"/>
    <n v="13.158217938900799"/>
    <n v="13.158217938900799"/>
    <n v="0"/>
    <n v="99"/>
    <n v="649"/>
    <n v="0.63497775759661201"/>
    <n v="1"/>
    <n v="1"/>
  </r>
  <r>
    <x v="0"/>
    <s v="2026-07-23 21:36:46"/>
    <n v="1"/>
    <x v="5"/>
    <x v="2"/>
    <x v="2"/>
    <n v="0"/>
    <n v="0"/>
    <n v="0"/>
    <n v="0"/>
    <n v="642"/>
    <s v="Unnamed ProjectproductNVA TimeEntity"/>
    <n v="1"/>
    <n v="0"/>
    <n v="0"/>
    <n v="0.95"/>
    <n v="4E+20"/>
    <n v="0"/>
    <n v="0"/>
    <n v="0"/>
    <n v="0"/>
    <n v="642"/>
    <n v="0"/>
    <n v="1"/>
    <n v="1"/>
  </r>
  <r>
    <x v="0"/>
    <s v="2026-07-23 21:36:46"/>
    <n v="1"/>
    <x v="5"/>
    <x v="3"/>
    <x v="2"/>
    <n v="45.626087738278798"/>
    <n v="0.31757587065498599"/>
    <n v="36.479788689008302"/>
    <n v="62.654145169196497"/>
    <n v="642"/>
    <s v="Unnamed ProjectproductOther TimeEntity"/>
    <n v="1"/>
    <n v="45.626087738278798"/>
    <n v="0"/>
    <n v="0.95"/>
    <n v="4E+20"/>
    <n v="45.626087738278798"/>
    <n v="45.626087738278798"/>
    <n v="36.479788689008302"/>
    <n v="62.654145169196497"/>
    <n v="642"/>
    <n v="0.31757587065498599"/>
    <n v="1"/>
    <n v="1"/>
  </r>
  <r>
    <x v="0"/>
    <s v="2026-07-23 21:36:46"/>
    <n v="1"/>
    <x v="5"/>
    <x v="4"/>
    <x v="2"/>
    <n v="193.65305505044901"/>
    <n v="3E+20"/>
    <n v="76.298170496047504"/>
    <n v="389.460577671473"/>
    <n v="642"/>
    <s v="Unnamed ProjectproductTotal TimeEntity"/>
    <n v="1"/>
    <n v="193.65305505044901"/>
    <n v="0"/>
    <n v="0.95"/>
    <n v="4E+20"/>
    <n v="193.65305505044901"/>
    <n v="193.65305505044901"/>
    <n v="76.298170496047504"/>
    <n v="389.460577671473"/>
    <n v="642"/>
    <n v="3E+20"/>
    <n v="1"/>
    <n v="1"/>
  </r>
  <r>
    <x v="0"/>
    <s v="2026-07-23 21:36:46"/>
    <n v="1"/>
    <x v="5"/>
    <x v="5"/>
    <x v="2"/>
    <n v="96.058057238128299"/>
    <n v="3E+20"/>
    <n v="24"/>
    <n v="299"/>
    <n v="642"/>
    <s v="Unnamed ProjectproductTransfer TimeEntity"/>
    <n v="1"/>
    <n v="96.058057238128299"/>
    <n v="0"/>
    <n v="0.95"/>
    <n v="4E+20"/>
    <n v="96.058057238128299"/>
    <n v="96.058057238128299"/>
    <n v="24"/>
    <n v="299"/>
    <n v="642"/>
    <n v="3E+20"/>
    <n v="1"/>
    <n v="1"/>
  </r>
  <r>
    <x v="0"/>
    <s v="2026-07-23 21:36:46"/>
    <n v="1"/>
    <x v="5"/>
    <x v="6"/>
    <x v="2"/>
    <n v="0"/>
    <n v="0"/>
    <n v="0"/>
    <n v="0"/>
    <n v="642"/>
    <s v="Unnamed ProjectproductVA TimeEntity"/>
    <n v="1"/>
    <n v="0"/>
    <n v="0"/>
    <n v="0.95"/>
    <n v="4E+20"/>
    <n v="0"/>
    <n v="0"/>
    <n v="0"/>
    <n v="0"/>
    <n v="642"/>
    <n v="0"/>
    <n v="1"/>
    <n v="1"/>
  </r>
  <r>
    <x v="0"/>
    <s v="2026-07-23 21:36:46"/>
    <n v="1"/>
    <x v="5"/>
    <x v="7"/>
    <x v="2"/>
    <n v="51.968910074041901"/>
    <n v="3E+20"/>
    <n v="7.34731443808381"/>
    <n v="174.717345093456"/>
    <n v="642"/>
    <s v="Unnamed ProjectproductWait TimeEntity"/>
    <n v="1"/>
    <n v="51.968910074041901"/>
    <n v="0"/>
    <n v="0.95"/>
    <n v="4E+20"/>
    <n v="51.968910074041901"/>
    <n v="51.968910074041901"/>
    <n v="7.34731443808381"/>
    <n v="174.717345093456"/>
    <n v="642"/>
    <n v="3E+20"/>
    <n v="1"/>
    <n v="1"/>
  </r>
  <r>
    <x v="0"/>
    <s v="2026-07-23 21:36:46"/>
    <n v="1"/>
    <x v="6"/>
    <x v="0"/>
    <x v="0"/>
    <n v="2.2460981581049801"/>
    <n v="0.598526642184254"/>
    <n v="0"/>
    <n v="38.700458958961498"/>
    <n v="649"/>
    <s v="Unnamed ProjectSeize ws1.QueueWaiting TimeQueue"/>
    <n v="1"/>
    <n v="2.2460981581049801"/>
    <n v="0"/>
    <n v="0.95"/>
    <n v="4E+20"/>
    <n v="2.2460981581049801"/>
    <n v="2.2460981581049801"/>
    <n v="0"/>
    <n v="38.700458958961498"/>
    <n v="649"/>
    <n v="0.598526642184254"/>
    <n v="1"/>
    <n v="1"/>
  </r>
  <r>
    <x v="0"/>
    <s v="2026-07-23 21:36:46"/>
    <n v="1"/>
    <x v="7"/>
    <x v="0"/>
    <x v="0"/>
    <n v="8.4327943168214201"/>
    <n v="3E+20"/>
    <n v="0"/>
    <n v="106.173387762131"/>
    <n v="647"/>
    <s v="Unnamed ProjectSeize ws2.QueueWaiting TimeQueue"/>
    <n v="1"/>
    <n v="8.4327943168214201"/>
    <n v="0"/>
    <n v="0.95"/>
    <n v="4E+20"/>
    <n v="8.4327943168214201"/>
    <n v="8.4327943168214201"/>
    <n v="0"/>
    <n v="106.173387762131"/>
    <n v="647"/>
    <n v="3E+20"/>
    <n v="1"/>
    <n v="1"/>
  </r>
  <r>
    <x v="0"/>
    <s v="2026-07-23 21:36:46"/>
    <n v="1"/>
    <x v="8"/>
    <x v="0"/>
    <x v="0"/>
    <n v="11.779542975147899"/>
    <n v="3E+20"/>
    <n v="0"/>
    <n v="106.199127961362"/>
    <n v="645"/>
    <s v="Unnamed ProjectSeize ws3.QueueWaiting TimeQueue"/>
    <n v="1"/>
    <n v="11.779542975147899"/>
    <n v="0"/>
    <n v="0.95"/>
    <n v="4E+20"/>
    <n v="11.779542975147899"/>
    <n v="11.779542975147899"/>
    <n v="0"/>
    <n v="106.199127961362"/>
    <n v="645"/>
    <n v="3E+20"/>
    <n v="1"/>
    <n v="1"/>
  </r>
  <r>
    <x v="0"/>
    <s v="2026-07-23 21:36:46"/>
    <n v="1"/>
    <x v="9"/>
    <x v="0"/>
    <x v="0"/>
    <n v="7.1775537831069602"/>
    <n v="1.5406778713820799"/>
    <n v="0"/>
    <n v="54.7458451035859"/>
    <n v="643"/>
    <s v="Unnamed ProjectSeize ws4.QueueWaiting TimeQueue"/>
    <n v="1"/>
    <n v="7.1775537831069602"/>
    <n v="0"/>
    <n v="0.95"/>
    <n v="4E+20"/>
    <n v="7.1775537831069602"/>
    <n v="7.1775537831069602"/>
    <n v="0"/>
    <n v="54.7458451035859"/>
    <n v="643"/>
    <n v="1.5406778713820799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2026-07-23 21:36:46"/>
    <n v="1"/>
    <x v="0"/>
    <x v="0"/>
    <x v="0"/>
    <n v="642"/>
    <n v="0"/>
    <s v="Unnamed ProjectSystem.NumberOutNumber OutSystem"/>
    <n v="1"/>
    <n v="642"/>
    <n v="0"/>
    <n v="0.95"/>
    <n v="4E+20"/>
    <n v="642"/>
    <n v="642"/>
  </r>
  <r>
    <x v="0"/>
    <s v="2026-07-23 21:36:46"/>
    <n v="1"/>
    <x v="1"/>
    <x v="1"/>
    <x v="1"/>
    <n v="650"/>
    <n v="0"/>
    <s v="Unnamed Projectproduct.NumberInNumber InEntity"/>
    <n v="1"/>
    <n v="650"/>
    <n v="0"/>
    <n v="0.95"/>
    <n v="4E+20"/>
    <n v="650"/>
    <n v="650"/>
  </r>
  <r>
    <x v="0"/>
    <s v="2026-07-23 21:36:46"/>
    <n v="1"/>
    <x v="2"/>
    <x v="0"/>
    <x v="1"/>
    <n v="642"/>
    <n v="0"/>
    <s v="Unnamed Projectproduct.NumberOutNumber OutEntity"/>
    <n v="1"/>
    <n v="642"/>
    <n v="0"/>
    <n v="0.95"/>
    <n v="4E+20"/>
    <n v="642"/>
    <n v="642"/>
  </r>
  <r>
    <x v="0"/>
    <s v="2026-07-23 21:36:46"/>
    <n v="1"/>
    <x v="3"/>
    <x v="2"/>
    <x v="2"/>
    <n v="649"/>
    <n v="0"/>
    <s v="Unnamed Projectws1.NumberSeizedTotal Number SeizedResource"/>
    <n v="1"/>
    <n v="649"/>
    <n v="0"/>
    <n v="0.95"/>
    <n v="4E+20"/>
    <n v="649"/>
    <n v="649"/>
  </r>
  <r>
    <x v="0"/>
    <s v="2026-07-23 21:36:46"/>
    <n v="1"/>
    <x v="4"/>
    <x v="3"/>
    <x v="2"/>
    <n v="0.85422822953898603"/>
    <n v="0"/>
    <s v="Unnamed Projectws1.ScheduledUtilizationScheduled UtilizationResource"/>
    <n v="1"/>
    <n v="0.85422822953898603"/>
    <n v="0"/>
    <n v="0.95"/>
    <n v="4E+20"/>
    <n v="0.85422822953898603"/>
    <n v="0.85422822953898603"/>
  </r>
  <r>
    <x v="0"/>
    <s v="2026-07-23 21:36:46"/>
    <n v="1"/>
    <x v="5"/>
    <x v="2"/>
    <x v="2"/>
    <n v="647"/>
    <n v="0"/>
    <s v="Unnamed Projectws2.NumberSeizedTotal Number SeizedResource"/>
    <n v="1"/>
    <n v="647"/>
    <n v="0"/>
    <n v="0.95"/>
    <n v="4E+20"/>
    <n v="647"/>
    <n v="647"/>
  </r>
  <r>
    <x v="0"/>
    <s v="2026-07-23 21:36:46"/>
    <n v="1"/>
    <x v="6"/>
    <x v="3"/>
    <x v="2"/>
    <n v="0.76251011580628503"/>
    <n v="0"/>
    <s v="Unnamed Projectws2.ScheduledUtilizationScheduled UtilizationResource"/>
    <n v="1"/>
    <n v="0.76251011580628503"/>
    <n v="0"/>
    <n v="0.95"/>
    <n v="4E+20"/>
    <n v="0.76251011580628503"/>
    <n v="0.76251011580628503"/>
  </r>
  <r>
    <x v="0"/>
    <s v="2026-07-23 21:36:46"/>
    <n v="1"/>
    <x v="7"/>
    <x v="2"/>
    <x v="2"/>
    <n v="645"/>
    <n v="0"/>
    <s v="Unnamed Projectws3.NumberSeizedTotal Number SeizedResource"/>
    <n v="1"/>
    <n v="645"/>
    <n v="0"/>
    <n v="0.95"/>
    <n v="4E+20"/>
    <n v="645"/>
    <n v="645"/>
  </r>
  <r>
    <x v="0"/>
    <s v="2026-07-23 21:36:46"/>
    <n v="1"/>
    <x v="8"/>
    <x v="3"/>
    <x v="2"/>
    <n v="0.80267194052608704"/>
    <n v="0"/>
    <s v="Unnamed Projectws3.ScheduledUtilizationScheduled UtilizationResource"/>
    <n v="1"/>
    <n v="0.80267194052608704"/>
    <n v="0"/>
    <n v="0.95"/>
    <n v="4E+20"/>
    <n v="0.80267194052608704"/>
    <n v="0.80267194052608704"/>
  </r>
  <r>
    <x v="0"/>
    <s v="2026-07-23 21:36:46"/>
    <n v="1"/>
    <x v="9"/>
    <x v="2"/>
    <x v="2"/>
    <n v="643"/>
    <n v="0"/>
    <s v="Unnamed Projectws4.NumberSeizedTotal Number SeizedResource"/>
    <n v="1"/>
    <n v="643"/>
    <n v="0"/>
    <n v="0.95"/>
    <n v="4E+20"/>
    <n v="643"/>
    <n v="643"/>
  </r>
  <r>
    <x v="0"/>
    <s v="2026-07-23 21:36:46"/>
    <n v="1"/>
    <x v="10"/>
    <x v="3"/>
    <x v="2"/>
    <n v="0.81293270404755202"/>
    <n v="0"/>
    <s v="Unnamed Projectws4.ScheduledUtilizationScheduled UtilizationResource"/>
    <n v="1"/>
    <n v="0.81293270404755202"/>
    <n v="0"/>
    <n v="0.95"/>
    <n v="4E+20"/>
    <n v="0.81293270404755202"/>
    <n v="0.8129327040475520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7">
        <item m="1" x="28"/>
        <item m="1" x="19"/>
        <item m="1" x="35"/>
        <item m="1" x="44"/>
        <item m="1" x="57"/>
        <item m="1" x="56"/>
        <item m="1" x="20"/>
        <item m="1" x="121"/>
        <item m="1" x="99"/>
        <item m="1" x="62"/>
        <item m="1" x="49"/>
        <item m="1" x="53"/>
        <item m="1" x="135"/>
        <item m="1" x="38"/>
        <item m="1" x="120"/>
        <item m="1" x="42"/>
        <item m="1" x="93"/>
        <item m="1" x="107"/>
        <item m="1" x="17"/>
        <item m="1" x="43"/>
        <item m="1" x="130"/>
        <item m="1" x="32"/>
        <item m="1" x="122"/>
        <item m="1" x="21"/>
        <item m="1" x="48"/>
        <item m="1" x="74"/>
        <item m="1" x="18"/>
        <item m="1" x="24"/>
        <item m="1" x="94"/>
        <item m="1" x="75"/>
        <item m="1" x="109"/>
        <item m="1" x="65"/>
        <item m="1" x="29"/>
        <item m="1" x="59"/>
        <item m="1" x="95"/>
        <item m="1" x="80"/>
        <item m="1" x="30"/>
        <item m="1" x="40"/>
        <item m="1" x="102"/>
        <item m="1" x="16"/>
        <item m="1" x="129"/>
        <item m="1" x="87"/>
        <item m="1" x="27"/>
        <item m="1" x="112"/>
        <item m="1" x="58"/>
        <item m="1" x="131"/>
        <item m="1" x="92"/>
        <item m="1" x="34"/>
        <item m="1" x="79"/>
        <item m="1" x="98"/>
        <item m="1" x="111"/>
        <item m="1" x="119"/>
        <item m="1" x="128"/>
        <item m="1" x="15"/>
        <item m="1" x="33"/>
        <item m="1" x="47"/>
        <item m="1" x="36"/>
        <item m="1" x="14"/>
        <item m="1" x="108"/>
        <item m="1" x="125"/>
        <item m="1" x="51"/>
        <item m="1" x="86"/>
        <item m="1" x="39"/>
        <item m="1" x="60"/>
        <item m="1" x="45"/>
        <item m="1" x="69"/>
        <item m="1" x="54"/>
        <item m="1" x="76"/>
        <item m="1" x="61"/>
        <item m="1" x="88"/>
        <item m="1" x="70"/>
        <item m="1" x="96"/>
        <item m="1" x="77"/>
        <item m="1" x="105"/>
        <item m="1" x="89"/>
        <item m="1" x="110"/>
        <item m="1" x="97"/>
        <item m="1" x="114"/>
        <item m="1" x="126"/>
        <item m="1" x="116"/>
        <item m="1" x="100"/>
        <item m="1" x="73"/>
        <item m="1" x="52"/>
        <item m="1" x="67"/>
        <item m="1" x="31"/>
        <item m="1" x="37"/>
        <item m="1" x="46"/>
        <item m="1" x="50"/>
        <item m="1" x="82"/>
        <item m="1" x="127"/>
        <item m="1" x="117"/>
        <item m="1" x="101"/>
        <item m="1" x="68"/>
        <item m="1" x="136"/>
        <item m="1" x="84"/>
        <item m="1" x="72"/>
        <item m="1" x="104"/>
        <item m="1" x="85"/>
        <item m="1" x="64"/>
        <item m="1" x="71"/>
        <item m="1" x="25"/>
        <item m="1" x="90"/>
        <item m="1" x="106"/>
        <item m="1" x="115"/>
        <item m="1" x="123"/>
        <item m="1" x="134"/>
        <item m="1" x="22"/>
        <item m="1" x="41"/>
        <item m="1" x="133"/>
        <item m="1" x="23"/>
        <item m="1" x="91"/>
        <item m="1" x="66"/>
        <item m="1" x="81"/>
        <item m="1" x="26"/>
        <item m="1" x="132"/>
        <item m="1" x="113"/>
        <item m="1" x="63"/>
        <item m="1" x="124"/>
        <item m="1" x="83"/>
        <item m="1" x="103"/>
        <item m="1" x="118"/>
        <item m="1" x="55"/>
        <item m="1" x="78"/>
        <item m="1"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1">
    <i>
      <x v="3"/>
      <x v="124"/>
      <x v="3"/>
      <x v="1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 v="4"/>
      <x/>
    </i>
    <i r="1">
      <x v="133"/>
      <x/>
      <x v="2"/>
    </i>
    <i r="2">
      <x v="1"/>
      <x v="2"/>
    </i>
    <i r="2">
      <x v="2"/>
      <x v="2"/>
    </i>
    <i r="1">
      <x v="134"/>
      <x/>
      <x v="2"/>
    </i>
    <i r="2">
      <x v="1"/>
      <x v="2"/>
    </i>
    <i r="2">
      <x v="2"/>
      <x v="2"/>
    </i>
    <i r="1">
      <x v="135"/>
      <x/>
      <x v="2"/>
    </i>
    <i r="2">
      <x v="1"/>
      <x v="2"/>
    </i>
    <i r="2">
      <x v="2"/>
      <x v="2"/>
    </i>
    <i r="1">
      <x v="136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7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9">
        <item m="1" x="20"/>
        <item m="1" x="43"/>
        <item m="1" x="15"/>
        <item m="1" x="95"/>
        <item m="1" x="78"/>
        <item m="1" x="48"/>
        <item m="1" x="104"/>
        <item m="1" x="36"/>
        <item m="1" x="40"/>
        <item m="1" x="107"/>
        <item m="1" x="73"/>
        <item m="1" x="85"/>
        <item m="1" x="90"/>
        <item m="1" x="14"/>
        <item m="1" x="42"/>
        <item m="1" x="32"/>
        <item m="1" x="108"/>
        <item m="1" x="102"/>
        <item m="1" x="30"/>
        <item m="1" x="24"/>
        <item m="1" x="96"/>
        <item m="1" x="16"/>
        <item m="1" x="49"/>
        <item m="1" x="35"/>
        <item m="1" x="60"/>
        <item m="1" x="87"/>
        <item m="1" x="51"/>
        <item m="1" x="21"/>
        <item m="1" x="45"/>
        <item m="1" x="74"/>
        <item m="1" x="64"/>
        <item m="1" x="22"/>
        <item m="1" x="81"/>
        <item m="1" x="13"/>
        <item m="1" x="101"/>
        <item m="1" x="69"/>
        <item m="1" x="89"/>
        <item m="1" x="44"/>
        <item m="1" x="103"/>
        <item m="1" x="72"/>
        <item m="1" x="26"/>
        <item m="1" x="63"/>
        <item m="1" x="77"/>
        <item m="1" x="88"/>
        <item m="1" x="94"/>
        <item m="1" x="12"/>
        <item m="1" x="25"/>
        <item m="1" x="34"/>
        <item m="1" x="27"/>
        <item m="1" x="11"/>
        <item m="1" x="86"/>
        <item m="1" x="98"/>
        <item m="1" x="38"/>
        <item m="1" x="68"/>
        <item m="1" x="29"/>
        <item m="1" x="46"/>
        <item m="1" x="33"/>
        <item m="1" x="54"/>
        <item m="1" x="41"/>
        <item m="1" x="61"/>
        <item m="1" x="47"/>
        <item m="1" x="70"/>
        <item m="1" x="55"/>
        <item m="1" x="75"/>
        <item m="1" x="62"/>
        <item m="1" x="83"/>
        <item m="1" x="76"/>
        <item m="1" x="91"/>
        <item m="1" x="99"/>
        <item m="1" x="79"/>
        <item m="1" x="58"/>
        <item m="1" x="39"/>
        <item m="1" x="52"/>
        <item m="1" x="23"/>
        <item m="1" x="28"/>
        <item m="1" x="37"/>
        <item m="1" x="65"/>
        <item m="1" x="100"/>
        <item m="1" x="93"/>
        <item m="1" x="80"/>
        <item m="1" x="53"/>
        <item m="1" x="66"/>
        <item m="1" x="57"/>
        <item m="1" x="82"/>
        <item m="1" x="67"/>
        <item m="1" x="50"/>
        <item m="1" x="56"/>
        <item m="1" x="19"/>
        <item m="1" x="59"/>
        <item m="1" x="71"/>
        <item m="1" x="84"/>
        <item m="1" x="92"/>
        <item m="1" x="97"/>
        <item m="1" x="106"/>
        <item m="1" x="17"/>
        <item m="1" x="31"/>
        <item m="1" x="105"/>
        <item m="1" x="18"/>
        <item m="1" x="10"/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12">
        <item x="1"/>
        <item x="2"/>
        <item x="3"/>
        <item x="4"/>
        <item x="5"/>
        <item x="6"/>
        <item x="7"/>
        <item x="0"/>
        <item m="1" x="9"/>
        <item m="1" x="10"/>
        <item m="1" x="11"/>
        <item m="1" x="8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5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/>
      <x v="2"/>
    </i>
    <i r="1">
      <x v="103"/>
      <x v="7"/>
      <x v="1"/>
    </i>
    <i r="1">
      <x v="104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5"/>
      <x v="7"/>
      <x v="1"/>
    </i>
    <i r="1">
      <x v="106"/>
      <x v="7"/>
      <x v="1"/>
    </i>
    <i r="1">
      <x v="107"/>
      <x v="7"/>
      <x v="1"/>
    </i>
    <i r="1">
      <x v="108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3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9">
        <item m="1" x="36"/>
        <item m="1" x="12"/>
        <item m="1" x="37"/>
        <item m="1" x="13"/>
        <item m="1" x="38"/>
        <item m="1" x="14"/>
        <item m="1" x="39"/>
        <item m="1" x="15"/>
        <item m="1" x="71"/>
        <item m="1" x="26"/>
        <item x="0"/>
        <item m="1" x="70"/>
        <item m="1" x="57"/>
        <item m="1" x="74"/>
        <item m="1" x="59"/>
        <item m="1" x="75"/>
        <item m="1" x="82"/>
        <item m="1" x="51"/>
        <item m="1" x="19"/>
        <item m="1" x="68"/>
        <item m="1" x="58"/>
        <item m="1" x="56"/>
        <item m="1" x="22"/>
        <item m="1" x="66"/>
        <item m="1" x="31"/>
        <item m="1" x="67"/>
        <item m="1" x="32"/>
        <item m="1" x="65"/>
        <item m="1" x="85"/>
        <item m="1" x="25"/>
        <item m="1" x="88"/>
        <item m="1" x="53"/>
        <item m="1" x="20"/>
        <item m="1" x="83"/>
        <item m="1" x="78"/>
        <item m="1" x="54"/>
        <item m="1" x="21"/>
        <item m="1" x="84"/>
        <item m="1" x="79"/>
        <item m="1" x="16"/>
        <item m="1" x="50"/>
        <item m="1" x="34"/>
        <item m="1" x="24"/>
        <item m="1" x="76"/>
        <item m="1" x="46"/>
        <item m="1" x="77"/>
        <item m="1" x="47"/>
        <item m="1" x="33"/>
        <item m="1" x="28"/>
        <item m="1" x="55"/>
        <item m="1" x="30"/>
        <item m="1" x="87"/>
        <item m="1" x="80"/>
        <item m="1" x="29"/>
        <item m="1" x="27"/>
        <item m="1" x="72"/>
        <item m="1" x="81"/>
        <item m="1" x="17"/>
        <item m="1" x="35"/>
        <item m="1" x="48"/>
        <item m="1" x="69"/>
        <item m="1" x="86"/>
        <item m="1" x="18"/>
        <item m="1" x="45"/>
        <item m="1" x="49"/>
        <item m="1" x="73"/>
        <item m="1" x="52"/>
        <item m="1" x="23"/>
        <item m="1" x="40"/>
        <item m="1" x="60"/>
        <item m="1" x="41"/>
        <item m="1" x="61"/>
        <item m="1" x="42"/>
        <item m="1" x="62"/>
        <item m="1" x="43"/>
        <item m="1" x="63"/>
        <item m="1" x="44"/>
        <item m="1" x="64"/>
        <item m="1" x="11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7">
        <item x="1"/>
        <item x="0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6" tableType="queryTable" totalsRowShown="0">
  <autoFilter ref="A1:Y16" xr:uid="{C3D003CA-1AFF-426C-A03D-D3AF5760DF1A}"/>
  <sortState xmlns:xlrd2="http://schemas.microsoft.com/office/spreadsheetml/2017/richdata2" ref="A2:Y16">
    <sortCondition ref="D1:D1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2" tableType="queryTable" totalsRowShown="0">
  <autoFilter ref="A1:U22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2" tableType="queryTable" totalsRowShown="0">
  <autoFilter ref="A1:P12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Office 2013 – 2022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2</v>
      </c>
      <c r="E2">
        <v>1</v>
      </c>
      <c r="F2">
        <v>10000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3"/>
  <sheetViews>
    <sheetView tabSelected="1" workbookViewId="0"/>
  </sheetViews>
  <sheetFormatPr defaultRowHeight="14.5" x14ac:dyDescent="0.35"/>
  <cols>
    <col min="1" max="1" width="33.26953125" customWidth="1"/>
    <col min="2" max="2" width="28.7265625" bestFit="1" customWidth="1"/>
    <col min="3" max="4" width="12.5429687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7265625" bestFit="1" customWidth="1"/>
    <col min="15" max="15" width="18.72656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26953125" bestFit="1" customWidth="1"/>
    <col min="27" max="27" width="20.7265625" bestFit="1" customWidth="1"/>
    <col min="28" max="28" width="24.72656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81640625" bestFit="1" customWidth="1"/>
    <col min="37" max="37" width="32.26953125" bestFit="1" customWidth="1"/>
    <col min="38" max="38" width="24.72656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81640625" bestFit="1" customWidth="1"/>
    <col min="47" max="47" width="14.81640625" bestFit="1" customWidth="1"/>
    <col min="48" max="48" width="20.7265625" bestFit="1" customWidth="1"/>
    <col min="49" max="49" width="26.26953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81640625" bestFit="1" customWidth="1"/>
    <col min="55" max="55" width="29.26953125" bestFit="1" customWidth="1"/>
    <col min="56" max="56" width="31.81640625" bestFit="1" customWidth="1"/>
    <col min="57" max="57" width="21.7265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1.2099303199795199</v>
      </c>
      <c r="F3" s="5">
        <v>1</v>
      </c>
      <c r="G3" s="5">
        <v>3E+20</v>
      </c>
      <c r="H3" s="5">
        <v>0</v>
      </c>
      <c r="I3" s="5">
        <v>1.2099303199795199</v>
      </c>
      <c r="J3" s="5">
        <v>1.2099303199795199</v>
      </c>
      <c r="K3" s="5">
        <v>0</v>
      </c>
      <c r="L3" s="5">
        <v>85.247562070168897</v>
      </c>
      <c r="M3" s="5">
        <v>648</v>
      </c>
      <c r="O3" t="s">
        <v>66</v>
      </c>
      <c r="P3" t="s">
        <v>70</v>
      </c>
      <c r="Q3" t="s">
        <v>91</v>
      </c>
      <c r="R3" t="s">
        <v>72</v>
      </c>
      <c r="S3" s="5">
        <v>7.8403484734672804E-2</v>
      </c>
      <c r="T3" s="5">
        <v>3E+20</v>
      </c>
      <c r="U3" s="5">
        <v>0</v>
      </c>
      <c r="V3" s="5">
        <v>7.8403484734672804E-2</v>
      </c>
      <c r="W3" s="5">
        <v>7.8403484734672804E-2</v>
      </c>
      <c r="X3" s="5">
        <v>0</v>
      </c>
      <c r="Y3" s="5">
        <v>1</v>
      </c>
      <c r="AA3" t="s">
        <v>117</v>
      </c>
      <c r="AB3" t="s">
        <v>117</v>
      </c>
      <c r="AC3" t="s">
        <v>117</v>
      </c>
      <c r="AD3" t="s">
        <v>117</v>
      </c>
      <c r="AE3" s="5"/>
      <c r="AF3" s="5"/>
      <c r="AG3" s="5"/>
      <c r="AH3" s="5"/>
      <c r="AI3" s="5"/>
      <c r="AK3" t="s">
        <v>66</v>
      </c>
      <c r="AL3" t="s">
        <v>101</v>
      </c>
      <c r="AM3" t="s">
        <v>102</v>
      </c>
      <c r="AN3" t="s">
        <v>103</v>
      </c>
      <c r="AO3" s="5">
        <v>642</v>
      </c>
      <c r="AP3" s="5">
        <v>4E+20</v>
      </c>
      <c r="AQ3" s="5">
        <v>0</v>
      </c>
      <c r="AR3" s="5">
        <v>642</v>
      </c>
      <c r="AS3" s="5">
        <v>642</v>
      </c>
      <c r="AU3" t="s">
        <v>117</v>
      </c>
      <c r="AV3" t="s">
        <v>117</v>
      </c>
      <c r="AW3" t="s">
        <v>117</v>
      </c>
      <c r="AX3" t="s">
        <v>117</v>
      </c>
      <c r="AY3" s="4"/>
      <c r="AZ3" s="4"/>
    </row>
    <row r="4" spans="1:52" x14ac:dyDescent="0.35">
      <c r="B4" t="s">
        <v>73</v>
      </c>
      <c r="C4" t="s">
        <v>71</v>
      </c>
      <c r="D4" t="s">
        <v>72</v>
      </c>
      <c r="E4" s="5">
        <v>2.7388450997305198</v>
      </c>
      <c r="F4" s="5">
        <v>1</v>
      </c>
      <c r="G4" s="5">
        <v>3E+20</v>
      </c>
      <c r="H4" s="5">
        <v>0</v>
      </c>
      <c r="I4" s="5">
        <v>2.7388450997305198</v>
      </c>
      <c r="J4" s="5">
        <v>2.7388450997305198</v>
      </c>
      <c r="K4" s="5">
        <v>0</v>
      </c>
      <c r="L4" s="5">
        <v>100.651044566403</v>
      </c>
      <c r="M4" s="5">
        <v>653</v>
      </c>
      <c r="P4" t="s">
        <v>73</v>
      </c>
      <c r="Q4" t="s">
        <v>91</v>
      </c>
      <c r="R4" t="s">
        <v>72</v>
      </c>
      <c r="S4" s="5">
        <v>0.178846585012403</v>
      </c>
      <c r="T4" s="5">
        <v>3E+20</v>
      </c>
      <c r="U4" s="5">
        <v>0</v>
      </c>
      <c r="V4" s="5">
        <v>0.178846585012403</v>
      </c>
      <c r="W4" s="5">
        <v>0.178846585012403</v>
      </c>
      <c r="X4" s="5">
        <v>0</v>
      </c>
      <c r="Y4" s="5">
        <v>1</v>
      </c>
      <c r="AL4" t="s">
        <v>104</v>
      </c>
      <c r="AM4" t="s">
        <v>105</v>
      </c>
      <c r="AN4" t="s">
        <v>85</v>
      </c>
      <c r="AO4" s="5">
        <v>650</v>
      </c>
      <c r="AP4" s="5">
        <v>4E+20</v>
      </c>
      <c r="AQ4" s="5">
        <v>0</v>
      </c>
      <c r="AR4" s="5">
        <v>650</v>
      </c>
      <c r="AS4" s="5">
        <v>650</v>
      </c>
    </row>
    <row r="5" spans="1:52" x14ac:dyDescent="0.35">
      <c r="B5" t="s">
        <v>74</v>
      </c>
      <c r="C5" t="s">
        <v>71</v>
      </c>
      <c r="D5" t="s">
        <v>72</v>
      </c>
      <c r="E5" s="5">
        <v>0.47018110427152998</v>
      </c>
      <c r="F5" s="5">
        <v>1</v>
      </c>
      <c r="G5" s="5">
        <v>2.4554553651491898E-2</v>
      </c>
      <c r="H5" s="5">
        <v>0</v>
      </c>
      <c r="I5" s="5">
        <v>0.47018110427152998</v>
      </c>
      <c r="J5" s="5">
        <v>0.47018110427152998</v>
      </c>
      <c r="K5" s="5">
        <v>0</v>
      </c>
      <c r="L5" s="5">
        <v>0.97996130223327804</v>
      </c>
      <c r="M5" s="5">
        <v>644</v>
      </c>
      <c r="P5" t="s">
        <v>74</v>
      </c>
      <c r="Q5" t="s">
        <v>91</v>
      </c>
      <c r="R5" t="s">
        <v>72</v>
      </c>
      <c r="S5" s="5">
        <v>3.0279663115086501E-2</v>
      </c>
      <c r="T5" s="5">
        <v>2.3856456025175702E-3</v>
      </c>
      <c r="U5" s="5">
        <v>0</v>
      </c>
      <c r="V5" s="5">
        <v>3.0279663115086501E-2</v>
      </c>
      <c r="W5" s="5">
        <v>3.0279663115086501E-2</v>
      </c>
      <c r="X5" s="5">
        <v>0</v>
      </c>
      <c r="Y5" s="5">
        <v>1</v>
      </c>
      <c r="AL5" t="s">
        <v>106</v>
      </c>
      <c r="AM5" t="s">
        <v>102</v>
      </c>
      <c r="AN5" t="s">
        <v>85</v>
      </c>
      <c r="AO5" s="5">
        <v>642</v>
      </c>
      <c r="AP5" s="5">
        <v>4E+20</v>
      </c>
      <c r="AQ5" s="5">
        <v>0</v>
      </c>
      <c r="AR5" s="5">
        <v>642</v>
      </c>
      <c r="AS5" s="5">
        <v>642</v>
      </c>
    </row>
    <row r="6" spans="1:52" x14ac:dyDescent="0.35">
      <c r="B6" t="s">
        <v>80</v>
      </c>
      <c r="C6" t="s">
        <v>81</v>
      </c>
      <c r="D6" t="s">
        <v>82</v>
      </c>
      <c r="E6" s="5">
        <v>5109.8688874324498</v>
      </c>
      <c r="F6" s="5">
        <v>1</v>
      </c>
      <c r="G6" s="5">
        <v>3E+20</v>
      </c>
      <c r="H6" s="5">
        <v>0</v>
      </c>
      <c r="I6" s="5">
        <v>5109.8688874324498</v>
      </c>
      <c r="J6" s="5">
        <v>5109.8688874324498</v>
      </c>
      <c r="K6" s="5">
        <v>76.298170496047504</v>
      </c>
      <c r="L6" s="5">
        <v>9997.3091933782598</v>
      </c>
      <c r="M6" s="5">
        <v>642</v>
      </c>
      <c r="P6" t="s">
        <v>75</v>
      </c>
      <c r="Q6" t="s">
        <v>91</v>
      </c>
      <c r="R6" t="s">
        <v>72</v>
      </c>
      <c r="S6" s="5">
        <v>0.85422822953898603</v>
      </c>
      <c r="T6" s="5">
        <v>2E+20</v>
      </c>
      <c r="U6" s="5">
        <v>0</v>
      </c>
      <c r="V6" s="5">
        <v>0.85422822953898603</v>
      </c>
      <c r="W6" s="5">
        <v>0.85422822953898603</v>
      </c>
      <c r="X6" s="5">
        <v>0</v>
      </c>
      <c r="Y6" s="5">
        <v>1</v>
      </c>
      <c r="AL6" t="s">
        <v>107</v>
      </c>
      <c r="AM6" t="s">
        <v>108</v>
      </c>
      <c r="AN6" t="s">
        <v>95</v>
      </c>
      <c r="AO6" s="5">
        <v>649</v>
      </c>
      <c r="AP6" s="5">
        <v>4E+20</v>
      </c>
      <c r="AQ6" s="5">
        <v>0</v>
      </c>
      <c r="AR6" s="5">
        <v>649</v>
      </c>
      <c r="AS6" s="5">
        <v>649</v>
      </c>
    </row>
    <row r="7" spans="1:52" x14ac:dyDescent="0.35">
      <c r="B7" t="s">
        <v>75</v>
      </c>
      <c r="C7" t="s">
        <v>71</v>
      </c>
      <c r="D7" t="s">
        <v>72</v>
      </c>
      <c r="E7" s="5">
        <v>13.158217938900799</v>
      </c>
      <c r="F7" s="5">
        <v>1</v>
      </c>
      <c r="G7" s="5">
        <v>0.63497775759661201</v>
      </c>
      <c r="H7" s="5">
        <v>0</v>
      </c>
      <c r="I7" s="5">
        <v>13.158217938900799</v>
      </c>
      <c r="J7" s="5">
        <v>13.158217938900799</v>
      </c>
      <c r="K7" s="5">
        <v>0</v>
      </c>
      <c r="L7" s="5">
        <v>99</v>
      </c>
      <c r="M7" s="5">
        <v>649</v>
      </c>
      <c r="P7" t="s">
        <v>76</v>
      </c>
      <c r="Q7" t="s">
        <v>91</v>
      </c>
      <c r="R7" t="s">
        <v>72</v>
      </c>
      <c r="S7" s="5">
        <v>0.145771770461013</v>
      </c>
      <c r="T7" s="5">
        <v>2E+20</v>
      </c>
      <c r="U7" s="5">
        <v>0</v>
      </c>
      <c r="V7" s="5">
        <v>0.145771770461013</v>
      </c>
      <c r="W7" s="5">
        <v>0.145771770461013</v>
      </c>
      <c r="X7" s="5">
        <v>0</v>
      </c>
      <c r="Y7" s="5">
        <v>1</v>
      </c>
      <c r="AL7" t="s">
        <v>109</v>
      </c>
      <c r="AM7" t="s">
        <v>110</v>
      </c>
      <c r="AN7" t="s">
        <v>95</v>
      </c>
      <c r="AO7" s="5">
        <v>0.85422822953898603</v>
      </c>
      <c r="AP7" s="5">
        <v>4E+20</v>
      </c>
      <c r="AQ7" s="5">
        <v>0</v>
      </c>
      <c r="AR7" s="5">
        <v>0.85422822953898603</v>
      </c>
      <c r="AS7" s="5">
        <v>0.85422822953898603</v>
      </c>
    </row>
    <row r="8" spans="1:52" x14ac:dyDescent="0.35">
      <c r="B8" t="s">
        <v>83</v>
      </c>
      <c r="C8" t="s">
        <v>84</v>
      </c>
      <c r="D8" t="s">
        <v>85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642</v>
      </c>
      <c r="P8" t="s">
        <v>77</v>
      </c>
      <c r="Q8" t="s">
        <v>91</v>
      </c>
      <c r="R8" t="s">
        <v>72</v>
      </c>
      <c r="S8" s="5">
        <v>0.54560179229834604</v>
      </c>
      <c r="T8" s="5">
        <v>3E+20</v>
      </c>
      <c r="U8" s="5">
        <v>0</v>
      </c>
      <c r="V8" s="5">
        <v>0.54560179229834604</v>
      </c>
      <c r="W8" s="5">
        <v>0.54560179229834604</v>
      </c>
      <c r="X8" s="5">
        <v>0</v>
      </c>
      <c r="Y8" s="5">
        <v>1</v>
      </c>
      <c r="AL8" t="s">
        <v>111</v>
      </c>
      <c r="AM8" t="s">
        <v>108</v>
      </c>
      <c r="AN8" t="s">
        <v>95</v>
      </c>
      <c r="AO8" s="5">
        <v>647</v>
      </c>
      <c r="AP8" s="5">
        <v>4E+20</v>
      </c>
      <c r="AQ8" s="5">
        <v>0</v>
      </c>
      <c r="AR8" s="5">
        <v>647</v>
      </c>
      <c r="AS8" s="5">
        <v>647</v>
      </c>
    </row>
    <row r="9" spans="1:52" x14ac:dyDescent="0.35">
      <c r="C9" t="s">
        <v>86</v>
      </c>
      <c r="D9" t="s">
        <v>85</v>
      </c>
      <c r="E9" s="5">
        <v>45.626087738278798</v>
      </c>
      <c r="F9" s="5">
        <v>1</v>
      </c>
      <c r="G9" s="5">
        <v>0.31757587065498599</v>
      </c>
      <c r="H9" s="5">
        <v>0</v>
      </c>
      <c r="I9" s="5">
        <v>45.626087738278798</v>
      </c>
      <c r="J9" s="5">
        <v>45.626087738278798</v>
      </c>
      <c r="K9" s="5">
        <v>36.479788689008302</v>
      </c>
      <c r="L9" s="5">
        <v>62.654145169196497</v>
      </c>
      <c r="M9" s="5">
        <v>642</v>
      </c>
      <c r="P9" t="s">
        <v>78</v>
      </c>
      <c r="Q9" t="s">
        <v>91</v>
      </c>
      <c r="R9" t="s">
        <v>72</v>
      </c>
      <c r="S9" s="5">
        <v>0.761230519237445</v>
      </c>
      <c r="T9" s="5">
        <v>3E+20</v>
      </c>
      <c r="U9" s="5">
        <v>0</v>
      </c>
      <c r="V9" s="5">
        <v>0.761230519237445</v>
      </c>
      <c r="W9" s="5">
        <v>0.761230519237445</v>
      </c>
      <c r="X9" s="5">
        <v>0</v>
      </c>
      <c r="Y9" s="5">
        <v>1</v>
      </c>
      <c r="AL9" t="s">
        <v>112</v>
      </c>
      <c r="AM9" t="s">
        <v>110</v>
      </c>
      <c r="AN9" t="s">
        <v>95</v>
      </c>
      <c r="AO9" s="5">
        <v>0.76251011580628503</v>
      </c>
      <c r="AP9" s="5">
        <v>4E+20</v>
      </c>
      <c r="AQ9" s="5">
        <v>0</v>
      </c>
      <c r="AR9" s="5">
        <v>0.76251011580628503</v>
      </c>
      <c r="AS9" s="5">
        <v>0.76251011580628503</v>
      </c>
    </row>
    <row r="10" spans="1:52" x14ac:dyDescent="0.35">
      <c r="C10" t="s">
        <v>87</v>
      </c>
      <c r="D10" t="s">
        <v>85</v>
      </c>
      <c r="E10" s="5">
        <v>193.65305505044901</v>
      </c>
      <c r="F10" s="5">
        <v>1</v>
      </c>
      <c r="G10" s="5">
        <v>3E+20</v>
      </c>
      <c r="H10" s="5">
        <v>0</v>
      </c>
      <c r="I10" s="5">
        <v>193.65305505044901</v>
      </c>
      <c r="J10" s="5">
        <v>193.65305505044901</v>
      </c>
      <c r="K10" s="5">
        <v>76.298170496047504</v>
      </c>
      <c r="L10" s="5">
        <v>389.460577671473</v>
      </c>
      <c r="M10" s="5">
        <v>642</v>
      </c>
      <c r="P10" t="s">
        <v>79</v>
      </c>
      <c r="Q10" t="s">
        <v>91</v>
      </c>
      <c r="R10" t="s">
        <v>72</v>
      </c>
      <c r="S10" s="5">
        <v>0.46167573368517001</v>
      </c>
      <c r="T10" s="5">
        <v>0.103751540344709</v>
      </c>
      <c r="U10" s="5">
        <v>0</v>
      </c>
      <c r="V10" s="5">
        <v>0.46167573368517001</v>
      </c>
      <c r="W10" s="5">
        <v>0.46167573368517001</v>
      </c>
      <c r="X10" s="5">
        <v>0</v>
      </c>
      <c r="Y10" s="5">
        <v>1</v>
      </c>
      <c r="AL10" t="s">
        <v>113</v>
      </c>
      <c r="AM10" t="s">
        <v>108</v>
      </c>
      <c r="AN10" t="s">
        <v>95</v>
      </c>
      <c r="AO10" s="5">
        <v>645</v>
      </c>
      <c r="AP10" s="5">
        <v>4E+20</v>
      </c>
      <c r="AQ10" s="5">
        <v>0</v>
      </c>
      <c r="AR10" s="5">
        <v>645</v>
      </c>
      <c r="AS10" s="5">
        <v>645</v>
      </c>
    </row>
    <row r="11" spans="1:52" x14ac:dyDescent="0.35">
      <c r="C11" t="s">
        <v>88</v>
      </c>
      <c r="D11" t="s">
        <v>85</v>
      </c>
      <c r="E11" s="5">
        <v>96.058057238128299</v>
      </c>
      <c r="F11" s="5">
        <v>1</v>
      </c>
      <c r="G11" s="5">
        <v>3E+20</v>
      </c>
      <c r="H11" s="5">
        <v>0</v>
      </c>
      <c r="I11" s="5">
        <v>96.058057238128299</v>
      </c>
      <c r="J11" s="5">
        <v>96.058057238128299</v>
      </c>
      <c r="K11" s="5">
        <v>24</v>
      </c>
      <c r="L11" s="5">
        <v>299</v>
      </c>
      <c r="M11" s="5">
        <v>642</v>
      </c>
      <c r="P11" t="s">
        <v>83</v>
      </c>
      <c r="Q11" t="s">
        <v>92</v>
      </c>
      <c r="R11" t="s">
        <v>85</v>
      </c>
      <c r="S11" s="5">
        <v>12.4723535198366</v>
      </c>
      <c r="T11" s="5">
        <v>3E+20</v>
      </c>
      <c r="U11" s="5">
        <v>0</v>
      </c>
      <c r="V11" s="5">
        <v>12.4723535198366</v>
      </c>
      <c r="W11" s="5">
        <v>12.4723535198366</v>
      </c>
      <c r="X11" s="5">
        <v>0</v>
      </c>
      <c r="Y11" s="5">
        <v>21</v>
      </c>
      <c r="AL11" t="s">
        <v>114</v>
      </c>
      <c r="AM11" t="s">
        <v>110</v>
      </c>
      <c r="AN11" t="s">
        <v>95</v>
      </c>
      <c r="AO11" s="5">
        <v>0.80267194052608704</v>
      </c>
      <c r="AP11" s="5">
        <v>4E+20</v>
      </c>
      <c r="AQ11" s="5">
        <v>0</v>
      </c>
      <c r="AR11" s="5">
        <v>0.80267194052608704</v>
      </c>
      <c r="AS11" s="5">
        <v>0.80267194052608704</v>
      </c>
    </row>
    <row r="12" spans="1:52" x14ac:dyDescent="0.35">
      <c r="C12" t="s">
        <v>89</v>
      </c>
      <c r="D12" t="s">
        <v>85</v>
      </c>
      <c r="E12" s="5">
        <v>0</v>
      </c>
      <c r="F12" s="5">
        <v>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642</v>
      </c>
      <c r="P12" t="s">
        <v>93</v>
      </c>
      <c r="Q12" t="s">
        <v>94</v>
      </c>
      <c r="R12" t="s">
        <v>95</v>
      </c>
      <c r="S12" s="5">
        <v>0.85422822953898603</v>
      </c>
      <c r="T12" s="5">
        <v>2E+20</v>
      </c>
      <c r="U12" s="5">
        <v>0</v>
      </c>
      <c r="V12" s="5">
        <v>0.85422822953898603</v>
      </c>
      <c r="W12" s="5">
        <v>0.85422822953898603</v>
      </c>
      <c r="X12" s="5">
        <v>0</v>
      </c>
      <c r="Y12" s="5">
        <v>1</v>
      </c>
      <c r="AL12" t="s">
        <v>115</v>
      </c>
      <c r="AM12" t="s">
        <v>108</v>
      </c>
      <c r="AN12" t="s">
        <v>95</v>
      </c>
      <c r="AO12" s="5">
        <v>643</v>
      </c>
      <c r="AP12" s="5">
        <v>4E+20</v>
      </c>
      <c r="AQ12" s="5">
        <v>0</v>
      </c>
      <c r="AR12" s="5">
        <v>643</v>
      </c>
      <c r="AS12" s="5">
        <v>643</v>
      </c>
    </row>
    <row r="13" spans="1:52" x14ac:dyDescent="0.35">
      <c r="C13" t="s">
        <v>90</v>
      </c>
      <c r="D13" t="s">
        <v>85</v>
      </c>
      <c r="E13" s="5">
        <v>51.968910074041901</v>
      </c>
      <c r="F13" s="5">
        <v>1</v>
      </c>
      <c r="G13" s="5">
        <v>3E+20</v>
      </c>
      <c r="H13" s="5">
        <v>0</v>
      </c>
      <c r="I13" s="5">
        <v>51.968910074041901</v>
      </c>
      <c r="J13" s="5">
        <v>51.968910074041901</v>
      </c>
      <c r="K13" s="5">
        <v>7.34731443808381</v>
      </c>
      <c r="L13" s="5">
        <v>174.717345093456</v>
      </c>
      <c r="M13" s="5">
        <v>642</v>
      </c>
      <c r="Q13" t="s">
        <v>96</v>
      </c>
      <c r="R13" t="s">
        <v>95</v>
      </c>
      <c r="S13" s="5">
        <v>0.85422822953898603</v>
      </c>
      <c r="T13" s="5">
        <v>2E+20</v>
      </c>
      <c r="U13" s="5">
        <v>0</v>
      </c>
      <c r="V13" s="5">
        <v>0.85422822953898603</v>
      </c>
      <c r="W13" s="5">
        <v>0.85422822953898603</v>
      </c>
      <c r="X13" s="5">
        <v>0</v>
      </c>
      <c r="Y13" s="5">
        <v>1</v>
      </c>
      <c r="AL13" t="s">
        <v>116</v>
      </c>
      <c r="AM13" t="s">
        <v>110</v>
      </c>
      <c r="AN13" t="s">
        <v>95</v>
      </c>
      <c r="AO13" s="5">
        <v>0.81293270404755202</v>
      </c>
      <c r="AP13" s="5">
        <v>4E+20</v>
      </c>
      <c r="AQ13" s="5">
        <v>0</v>
      </c>
      <c r="AR13" s="5">
        <v>0.81293270404755202</v>
      </c>
      <c r="AS13" s="5">
        <v>0.81293270404755202</v>
      </c>
    </row>
    <row r="14" spans="1:52" x14ac:dyDescent="0.35">
      <c r="B14" t="s">
        <v>76</v>
      </c>
      <c r="C14" t="s">
        <v>71</v>
      </c>
      <c r="D14" t="s">
        <v>72</v>
      </c>
      <c r="E14" s="5">
        <v>2.2460981581049801</v>
      </c>
      <c r="F14" s="5">
        <v>1</v>
      </c>
      <c r="G14" s="5">
        <v>0.598526642184254</v>
      </c>
      <c r="H14" s="5">
        <v>0</v>
      </c>
      <c r="I14" s="5">
        <v>2.2460981581049801</v>
      </c>
      <c r="J14" s="5">
        <v>2.2460981581049801</v>
      </c>
      <c r="K14" s="5">
        <v>0</v>
      </c>
      <c r="L14" s="5">
        <v>38.700458958961498</v>
      </c>
      <c r="M14" s="5">
        <v>649</v>
      </c>
      <c r="Q14" t="s">
        <v>97</v>
      </c>
      <c r="R14" t="s">
        <v>95</v>
      </c>
      <c r="S14" s="5">
        <v>1</v>
      </c>
      <c r="T14" s="5">
        <v>2E+20</v>
      </c>
      <c r="U14" s="5">
        <v>0</v>
      </c>
      <c r="V14" s="5">
        <v>1</v>
      </c>
      <c r="W14" s="5">
        <v>1</v>
      </c>
      <c r="X14" s="5">
        <v>1</v>
      </c>
      <c r="Y14" s="5">
        <v>1</v>
      </c>
    </row>
    <row r="15" spans="1:52" x14ac:dyDescent="0.35">
      <c r="B15" t="s">
        <v>77</v>
      </c>
      <c r="C15" t="s">
        <v>71</v>
      </c>
      <c r="D15" t="s">
        <v>72</v>
      </c>
      <c r="E15" s="5">
        <v>8.4327943168214201</v>
      </c>
      <c r="F15" s="5">
        <v>1</v>
      </c>
      <c r="G15" s="5">
        <v>3E+20</v>
      </c>
      <c r="H15" s="5">
        <v>0</v>
      </c>
      <c r="I15" s="5">
        <v>8.4327943168214201</v>
      </c>
      <c r="J15" s="5">
        <v>8.4327943168214201</v>
      </c>
      <c r="K15" s="5">
        <v>0</v>
      </c>
      <c r="L15" s="5">
        <v>106.173387762131</v>
      </c>
      <c r="M15" s="5">
        <v>647</v>
      </c>
      <c r="P15" t="s">
        <v>98</v>
      </c>
      <c r="Q15" t="s">
        <v>94</v>
      </c>
      <c r="R15" t="s">
        <v>95</v>
      </c>
      <c r="S15" s="5">
        <v>0.76251011580628503</v>
      </c>
      <c r="T15" s="5">
        <v>3E+20</v>
      </c>
      <c r="U15" s="5">
        <v>0</v>
      </c>
      <c r="V15" s="5">
        <v>0.76251011580628503</v>
      </c>
      <c r="W15" s="5">
        <v>0.76251011580628503</v>
      </c>
      <c r="X15" s="5">
        <v>0</v>
      </c>
      <c r="Y15" s="5">
        <v>1</v>
      </c>
    </row>
    <row r="16" spans="1:52" x14ac:dyDescent="0.35">
      <c r="B16" t="s">
        <v>78</v>
      </c>
      <c r="C16" t="s">
        <v>71</v>
      </c>
      <c r="D16" t="s">
        <v>72</v>
      </c>
      <c r="E16" s="5">
        <v>11.779542975147899</v>
      </c>
      <c r="F16" s="5">
        <v>1</v>
      </c>
      <c r="G16" s="5">
        <v>3E+20</v>
      </c>
      <c r="H16" s="5">
        <v>0</v>
      </c>
      <c r="I16" s="5">
        <v>11.779542975147899</v>
      </c>
      <c r="J16" s="5">
        <v>11.779542975147899</v>
      </c>
      <c r="K16" s="5">
        <v>0</v>
      </c>
      <c r="L16" s="5">
        <v>106.199127961362</v>
      </c>
      <c r="M16" s="5">
        <v>645</v>
      </c>
      <c r="Q16" t="s">
        <v>96</v>
      </c>
      <c r="R16" t="s">
        <v>95</v>
      </c>
      <c r="S16" s="5">
        <v>0.76251011580628503</v>
      </c>
      <c r="T16" s="5">
        <v>3E+20</v>
      </c>
      <c r="U16" s="5">
        <v>0</v>
      </c>
      <c r="V16" s="5">
        <v>0.76251011580628503</v>
      </c>
      <c r="W16" s="5">
        <v>0.76251011580628503</v>
      </c>
      <c r="X16" s="5">
        <v>0</v>
      </c>
      <c r="Y16" s="5">
        <v>1</v>
      </c>
    </row>
    <row r="17" spans="2:25" x14ac:dyDescent="0.35">
      <c r="B17" t="s">
        <v>79</v>
      </c>
      <c r="C17" t="s">
        <v>71</v>
      </c>
      <c r="D17" t="s">
        <v>72</v>
      </c>
      <c r="E17" s="5">
        <v>7.1775537831069602</v>
      </c>
      <c r="F17" s="5">
        <v>1</v>
      </c>
      <c r="G17" s="5">
        <v>1.5406778713820799</v>
      </c>
      <c r="H17" s="5">
        <v>0</v>
      </c>
      <c r="I17" s="5">
        <v>7.1775537831069602</v>
      </c>
      <c r="J17" s="5">
        <v>7.1775537831069602</v>
      </c>
      <c r="K17" s="5">
        <v>0</v>
      </c>
      <c r="L17" s="5">
        <v>54.7458451035859</v>
      </c>
      <c r="M17" s="5">
        <v>643</v>
      </c>
      <c r="Q17" t="s">
        <v>97</v>
      </c>
      <c r="R17" t="s">
        <v>95</v>
      </c>
      <c r="S17" s="5">
        <v>1</v>
      </c>
      <c r="T17" s="5">
        <v>2E+20</v>
      </c>
      <c r="U17" s="5">
        <v>0</v>
      </c>
      <c r="V17" s="5">
        <v>1</v>
      </c>
      <c r="W17" s="5">
        <v>1</v>
      </c>
      <c r="X17" s="5">
        <v>1</v>
      </c>
      <c r="Y17" s="5">
        <v>1</v>
      </c>
    </row>
    <row r="18" spans="2:25" x14ac:dyDescent="0.35">
      <c r="P18" t="s">
        <v>99</v>
      </c>
      <c r="Q18" t="s">
        <v>94</v>
      </c>
      <c r="R18" t="s">
        <v>95</v>
      </c>
      <c r="S18" s="5">
        <v>0.80267194052608704</v>
      </c>
      <c r="T18" s="5">
        <v>2E+20</v>
      </c>
      <c r="U18" s="5">
        <v>0</v>
      </c>
      <c r="V18" s="5">
        <v>0.80267194052608704</v>
      </c>
      <c r="W18" s="5">
        <v>0.80267194052608704</v>
      </c>
      <c r="X18" s="5">
        <v>0</v>
      </c>
      <c r="Y18" s="5">
        <v>1</v>
      </c>
    </row>
    <row r="19" spans="2:25" x14ac:dyDescent="0.35">
      <c r="Q19" t="s">
        <v>96</v>
      </c>
      <c r="R19" t="s">
        <v>95</v>
      </c>
      <c r="S19" s="5">
        <v>0.80267194052608704</v>
      </c>
      <c r="T19" s="5">
        <v>2E+20</v>
      </c>
      <c r="U19" s="5">
        <v>0</v>
      </c>
      <c r="V19" s="5">
        <v>0.80267194052608704</v>
      </c>
      <c r="W19" s="5">
        <v>0.80267194052608704</v>
      </c>
      <c r="X19" s="5">
        <v>0</v>
      </c>
      <c r="Y19" s="5">
        <v>1</v>
      </c>
    </row>
    <row r="20" spans="2:25" x14ac:dyDescent="0.35">
      <c r="Q20" t="s">
        <v>97</v>
      </c>
      <c r="R20" t="s">
        <v>95</v>
      </c>
      <c r="S20" s="5">
        <v>1</v>
      </c>
      <c r="T20" s="5">
        <v>2E+20</v>
      </c>
      <c r="U20" s="5">
        <v>0</v>
      </c>
      <c r="V20" s="5">
        <v>1</v>
      </c>
      <c r="W20" s="5">
        <v>1</v>
      </c>
      <c r="X20" s="5">
        <v>1</v>
      </c>
      <c r="Y20" s="5">
        <v>1</v>
      </c>
    </row>
    <row r="21" spans="2:25" x14ac:dyDescent="0.35">
      <c r="P21" t="s">
        <v>100</v>
      </c>
      <c r="Q21" t="s">
        <v>94</v>
      </c>
      <c r="R21" t="s">
        <v>95</v>
      </c>
      <c r="S21" s="5">
        <v>0.81293270404755202</v>
      </c>
      <c r="T21" s="5">
        <v>2E+20</v>
      </c>
      <c r="U21" s="5">
        <v>0</v>
      </c>
      <c r="V21" s="5">
        <v>0.81293270404755202</v>
      </c>
      <c r="W21" s="5">
        <v>0.81293270404755202</v>
      </c>
      <c r="X21" s="5">
        <v>0</v>
      </c>
      <c r="Y21" s="5">
        <v>1</v>
      </c>
    </row>
    <row r="22" spans="2:25" x14ac:dyDescent="0.35">
      <c r="Q22" t="s">
        <v>96</v>
      </c>
      <c r="R22" t="s">
        <v>95</v>
      </c>
      <c r="S22" s="5">
        <v>0.81293270404755202</v>
      </c>
      <c r="T22" s="5">
        <v>2E+20</v>
      </c>
      <c r="U22" s="5">
        <v>0</v>
      </c>
      <c r="V22" s="5">
        <v>0.81293270404755202</v>
      </c>
      <c r="W22" s="5">
        <v>0.81293270404755202</v>
      </c>
      <c r="X22" s="5">
        <v>0</v>
      </c>
      <c r="Y22" s="5">
        <v>1</v>
      </c>
    </row>
    <row r="23" spans="2:25" x14ac:dyDescent="0.35">
      <c r="Q23" t="s">
        <v>97</v>
      </c>
      <c r="R23" t="s">
        <v>95</v>
      </c>
      <c r="S23" s="5">
        <v>1</v>
      </c>
      <c r="T23" s="5">
        <v>2E+20</v>
      </c>
      <c r="U23" s="5">
        <v>0</v>
      </c>
      <c r="V23" s="5">
        <v>1</v>
      </c>
      <c r="W23" s="5">
        <v>1</v>
      </c>
      <c r="X23" s="5">
        <v>1</v>
      </c>
      <c r="Y23" s="5">
        <v>1</v>
      </c>
    </row>
  </sheetData>
  <dataConsolidate/>
  <conditionalFormatting pivot="1" sqref="G3:G17">
    <cfRule type="expression" dxfId="31" priority="14">
      <formula>G3=200000000000000000000</formula>
    </cfRule>
  </conditionalFormatting>
  <conditionalFormatting pivot="1" sqref="T3:T23">
    <cfRule type="expression" dxfId="30" priority="13">
      <formula>T3=200000000000000000000</formula>
    </cfRule>
  </conditionalFormatting>
  <conditionalFormatting pivot="1" sqref="T3:T23">
    <cfRule type="expression" dxfId="29" priority="12">
      <formula>T3=300000000000000000000</formula>
    </cfRule>
  </conditionalFormatting>
  <conditionalFormatting pivot="1" sqref="G3:G17">
    <cfRule type="expression" dxfId="28" priority="11">
      <formula>G3=300000000000000000000</formula>
    </cfRule>
  </conditionalFormatting>
  <conditionalFormatting pivot="1" sqref="F3:F17">
    <cfRule type="expression" dxfId="27" priority="10">
      <formula>F3=0</formula>
    </cfRule>
  </conditionalFormatting>
  <conditionalFormatting pivot="1" sqref="F3:F17">
    <cfRule type="expression" dxfId="26" priority="9">
      <formula>F3=1</formula>
    </cfRule>
  </conditionalFormatting>
  <conditionalFormatting pivot="1" sqref="T3:T23">
    <cfRule type="expression" dxfId="25" priority="8">
      <formula>T3=400000000000000000000</formula>
    </cfRule>
  </conditionalFormatting>
  <conditionalFormatting pivot="1" sqref="AP3:AP13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7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6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6.1796875" bestFit="1" customWidth="1"/>
    <col min="5" max="5" width="12.36328125" bestFit="1" customWidth="1"/>
    <col min="6" max="6" width="12.5429687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47.72656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1.2099303199795199</v>
      </c>
      <c r="H2">
        <v>3E+20</v>
      </c>
      <c r="I2">
        <v>0</v>
      </c>
      <c r="J2">
        <v>85.247562070168897</v>
      </c>
      <c r="K2">
        <v>648</v>
      </c>
      <c r="L2" t="str">
        <f>DiscreteStatsTable[[#This Row],[ProjectName]]&amp;DiscreteStatsTable[[#This Row],[Name]]&amp;DiscreteStatsTable[[#This Row],[Type]]&amp;DiscreteStatsTable[[#This Row],[Source]]</f>
        <v>Unnamed ProjectAccess ws1.QueueWaiting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1.2099303199795199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1.2099303199795199</v>
      </c>
      <c r="S2" cm="1">
        <f t="array" ref="S2">MAX(IF((DiscreteStatsTable[GroupByKey]=DiscreteStatsTable[[#This Row],[GroupByKey]]),(DiscreteStatsTable[GroupByKey]=DiscreteStatsTable[[#This Row],[GroupByKey]])*DiscreteStatsTable[Average]))</f>
        <v>1.2099303199795199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85.247562070168897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648</v>
      </c>
      <c r="W2">
        <f>IF((DiscreteStatsTable[[#This Row],[RepsRequested]]&gt;1),DiscreteStatsTable[[#This Row],[HalfWidth]],DiscreteStatsTable[[#This Row],[BatchMeansHalfWidth]])</f>
        <v>3E+20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73</v>
      </c>
      <c r="E3" t="s">
        <v>71</v>
      </c>
      <c r="F3" t="s">
        <v>72</v>
      </c>
      <c r="G3">
        <v>2.7388450997305198</v>
      </c>
      <c r="H3">
        <v>3E+20</v>
      </c>
      <c r="I3">
        <v>0</v>
      </c>
      <c r="J3">
        <v>100.651044566403</v>
      </c>
      <c r="K3">
        <v>653</v>
      </c>
      <c r="L3" t="str">
        <f>DiscreteStatsTable[[#This Row],[ProjectName]]&amp;DiscreteStatsTable[[#This Row],[Name]]&amp;DiscreteStatsTable[[#This Row],[Type]]&amp;DiscreteStatsTable[[#This Row],[Source]]</f>
        <v>Unnamed ProjectAccess ws2.QueueWaiting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2.7388450997305198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2.7388450997305198</v>
      </c>
      <c r="S3" cm="1">
        <f t="array" ref="S3">MAX(IF((DiscreteStatsTable[GroupByKey]=DiscreteStatsTable[[#This Row],[GroupByKey]]),(DiscreteStatsTable[GroupByKey]=DiscreteStatsTable[[#This Row],[GroupByKey]])*DiscreteStatsTable[Average]))</f>
        <v>2.7388450997305198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100.651044566403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653</v>
      </c>
      <c r="W3">
        <f>IF((DiscreteStatsTable[[#This Row],[RepsRequested]]&gt;1),DiscreteStatsTable[[#This Row],[HalfWidth]],DiscreteStatsTable[[#This Row],[BatchMeansHalfWidth]])</f>
        <v>3E+20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74</v>
      </c>
      <c r="E4" t="s">
        <v>71</v>
      </c>
      <c r="F4" t="s">
        <v>72</v>
      </c>
      <c r="G4">
        <v>0.47018110427152998</v>
      </c>
      <c r="H4">
        <v>2.4554553651491898E-2</v>
      </c>
      <c r="I4">
        <v>0</v>
      </c>
      <c r="J4">
        <v>0.97996130223327804</v>
      </c>
      <c r="K4">
        <v>644</v>
      </c>
      <c r="L4" t="str">
        <f>DiscreteStatsTable[[#This Row],[ProjectName]]&amp;DiscreteStatsTable[[#This Row],[Name]]&amp;DiscreteStatsTable[[#This Row],[Type]]&amp;DiscreteStatsTable[[#This Row],[Source]]</f>
        <v>Unnamed ProjectAccess ws3.QueueWaiting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0.47018110427152998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0.47018110427152998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0.47018110427152998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0.97996130223327804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644</v>
      </c>
      <c r="W4">
        <f>IF((DiscreteStatsTable[[#This Row],[RepsRequested]]&gt;1),DiscreteStatsTable[[#This Row],[HalfWidth]],DiscreteStatsTable[[#This Row],[BatchMeansHalfWidth]])</f>
        <v>2.4554553651491898E-2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80</v>
      </c>
      <c r="E5" t="s">
        <v>81</v>
      </c>
      <c r="F5" t="s">
        <v>82</v>
      </c>
      <c r="G5">
        <v>5109.8688874324498</v>
      </c>
      <c r="H5">
        <v>3E+20</v>
      </c>
      <c r="I5">
        <v>76.298170496047504</v>
      </c>
      <c r="J5">
        <v>9997.3091933782598</v>
      </c>
      <c r="K5">
        <v>642</v>
      </c>
      <c r="L5" t="str">
        <f>DiscreteStatsTable[[#This Row],[ProjectName]]&amp;DiscreteStatsTable[[#This Row],[Name]]&amp;DiscreteStatsTable[[#This Row],[Type]]&amp;DiscreteStatsTable[[#This Row],[Source]]</f>
        <v>Unnamed Projectc4IntervalUser Specified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5109.8688874324498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5109.8688874324498</v>
      </c>
      <c r="S5" cm="1">
        <f t="array" ref="S5">MAX(IF((DiscreteStatsTable[GroupByKey]=DiscreteStatsTable[[#This Row],[GroupByKey]]),(DiscreteStatsTable[GroupByKey]=DiscreteStatsTable[[#This Row],[GroupByKey]])*DiscreteStatsTable[Average]))</f>
        <v>5109.8688874324498</v>
      </c>
      <c r="T5" cm="1">
        <f t="array" ref="T5">MIN(IF((DiscreteStatsTable[GroupByKey]=DiscreteStatsTable[[#This Row],[GroupByKey]]),(DiscreteStatsTable[GroupByKey]=DiscreteStatsTable[[#This Row],[GroupByKey]])*DiscreteStatsTable[Minimum]))</f>
        <v>76.298170496047504</v>
      </c>
      <c r="U5" cm="1">
        <f t="array" ref="U5">MAX(IF((DiscreteStatsTable[GroupByKey]=DiscreteStatsTable[[#This Row],[GroupByKey]]),(DiscreteStatsTable[GroupByKey]=DiscreteStatsTable[[#This Row],[GroupByKey]])*DiscreteStatsTable[Maximum]))</f>
        <v>9997.3091933782598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642</v>
      </c>
      <c r="W5">
        <f>IF((DiscreteStatsTable[[#This Row],[RepsRequested]]&gt;1),DiscreteStatsTable[[#This Row],[HalfWidth]],DiscreteStatsTable[[#This Row],[BatchMeansHalfWidth]])</f>
        <v>3E+20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75</v>
      </c>
      <c r="E6" t="s">
        <v>71</v>
      </c>
      <c r="F6" t="s">
        <v>72</v>
      </c>
      <c r="G6">
        <v>13.158217938900799</v>
      </c>
      <c r="H6">
        <v>0.63497775759661201</v>
      </c>
      <c r="I6">
        <v>0</v>
      </c>
      <c r="J6">
        <v>99</v>
      </c>
      <c r="K6">
        <v>649</v>
      </c>
      <c r="L6" t="str">
        <f>DiscreteStatsTable[[#This Row],[ProjectName]]&amp;DiscreteStatsTable[[#This Row],[Name]]&amp;DiscreteStatsTable[[#This Row],[Type]]&amp;DiscreteStatsTable[[#This Row],[Source]]</f>
        <v>Unnamed ProjectHold.QueueWaiting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13.158217938900799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13.158217938900799</v>
      </c>
      <c r="S6" cm="1">
        <f t="array" ref="S6">MAX(IF((DiscreteStatsTable[GroupByKey]=DiscreteStatsTable[[#This Row],[GroupByKey]]),(DiscreteStatsTable[GroupByKey]=DiscreteStatsTable[[#This Row],[GroupByKey]])*DiscreteStatsTable[Average]))</f>
        <v>13.158217938900799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99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649</v>
      </c>
      <c r="W6">
        <f>IF((DiscreteStatsTable[[#This Row],[RepsRequested]]&gt;1),DiscreteStatsTable[[#This Row],[HalfWidth]],DiscreteStatsTable[[#This Row],[BatchMeansHalfWidth]])</f>
        <v>0.63497775759661201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83</v>
      </c>
      <c r="E7" t="s">
        <v>84</v>
      </c>
      <c r="F7" t="s">
        <v>85</v>
      </c>
      <c r="G7">
        <v>0</v>
      </c>
      <c r="H7">
        <v>0</v>
      </c>
      <c r="I7">
        <v>0</v>
      </c>
      <c r="J7">
        <v>0</v>
      </c>
      <c r="K7">
        <v>642</v>
      </c>
      <c r="L7" t="str">
        <f>DiscreteStatsTable[[#This Row],[ProjectName]]&amp;DiscreteStatsTable[[#This Row],[Name]]&amp;DiscreteStatsTable[[#This Row],[Type]]&amp;DiscreteStatsTable[[#This Row],[Source]]</f>
        <v>Unnamed ProjectproductNVA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642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83</v>
      </c>
      <c r="E8" t="s">
        <v>86</v>
      </c>
      <c r="F8" t="s">
        <v>85</v>
      </c>
      <c r="G8">
        <v>45.626087738278798</v>
      </c>
      <c r="H8">
        <v>0.31757587065498599</v>
      </c>
      <c r="I8">
        <v>36.479788689008302</v>
      </c>
      <c r="J8">
        <v>62.654145169196497</v>
      </c>
      <c r="K8">
        <v>642</v>
      </c>
      <c r="L8" t="str">
        <f>DiscreteStatsTable[[#This Row],[ProjectName]]&amp;DiscreteStatsTable[[#This Row],[Name]]&amp;DiscreteStatsTable[[#This Row],[Type]]&amp;DiscreteStatsTable[[#This Row],[Source]]</f>
        <v>Unnamed ProjectproductOther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45.626087738278798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45.626087738278798</v>
      </c>
      <c r="S8" cm="1">
        <f t="array" ref="S8">MAX(IF((DiscreteStatsTable[GroupByKey]=DiscreteStatsTable[[#This Row],[GroupByKey]]),(DiscreteStatsTable[GroupByKey]=DiscreteStatsTable[[#This Row],[GroupByKey]])*DiscreteStatsTable[Average]))</f>
        <v>45.626087738278798</v>
      </c>
      <c r="T8" cm="1">
        <f t="array" ref="T8">MIN(IF((DiscreteStatsTable[GroupByKey]=DiscreteStatsTable[[#This Row],[GroupByKey]]),(DiscreteStatsTable[GroupByKey]=DiscreteStatsTable[[#This Row],[GroupByKey]])*DiscreteStatsTable[Minimum]))</f>
        <v>36.479788689008302</v>
      </c>
      <c r="U8" cm="1">
        <f t="array" ref="U8">MAX(IF((DiscreteStatsTable[GroupByKey]=DiscreteStatsTable[[#This Row],[GroupByKey]]),(DiscreteStatsTable[GroupByKey]=DiscreteStatsTable[[#This Row],[GroupByKey]])*DiscreteStatsTable[Maximum]))</f>
        <v>62.654145169196497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642</v>
      </c>
      <c r="W8">
        <f>IF((DiscreteStatsTable[[#This Row],[RepsRequested]]&gt;1),DiscreteStatsTable[[#This Row],[HalfWidth]],DiscreteStatsTable[[#This Row],[BatchMeansHalfWidth]])</f>
        <v>0.31757587065498599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1</v>
      </c>
      <c r="D9" t="s">
        <v>83</v>
      </c>
      <c r="E9" t="s">
        <v>87</v>
      </c>
      <c r="F9" t="s">
        <v>85</v>
      </c>
      <c r="G9">
        <v>193.65305505044901</v>
      </c>
      <c r="H9">
        <v>3E+20</v>
      </c>
      <c r="I9">
        <v>76.298170496047504</v>
      </c>
      <c r="J9">
        <v>389.460577671473</v>
      </c>
      <c r="K9">
        <v>642</v>
      </c>
      <c r="L9" t="str">
        <f>DiscreteStatsTable[[#This Row],[ProjectName]]&amp;DiscreteStatsTable[[#This Row],[Name]]&amp;DiscreteStatsTable[[#This Row],[Type]]&amp;DiscreteStatsTable[[#This Row],[Source]]</f>
        <v>Unnamed ProjectproductTotal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193.65305505044901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193.65305505044901</v>
      </c>
      <c r="S9" cm="1">
        <f t="array" ref="S9">MAX(IF((DiscreteStatsTable[GroupByKey]=DiscreteStatsTable[[#This Row],[GroupByKey]]),(DiscreteStatsTable[GroupByKey]=DiscreteStatsTable[[#This Row],[GroupByKey]])*DiscreteStatsTable[Average]))</f>
        <v>193.65305505044901</v>
      </c>
      <c r="T9" cm="1">
        <f t="array" ref="T9">MIN(IF((DiscreteStatsTable[GroupByKey]=DiscreteStatsTable[[#This Row],[GroupByKey]]),(DiscreteStatsTable[GroupByKey]=DiscreteStatsTable[[#This Row],[GroupByKey]])*DiscreteStatsTable[Minimum]))</f>
        <v>76.298170496047504</v>
      </c>
      <c r="U9" cm="1">
        <f t="array" ref="U9">MAX(IF((DiscreteStatsTable[GroupByKey]=DiscreteStatsTable[[#This Row],[GroupByKey]]),(DiscreteStatsTable[GroupByKey]=DiscreteStatsTable[[#This Row],[GroupByKey]])*DiscreteStatsTable[Maximum]))</f>
        <v>389.460577671473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642</v>
      </c>
      <c r="W9">
        <f>IF((DiscreteStatsTable[[#This Row],[RepsRequested]]&gt;1),DiscreteStatsTable[[#This Row],[HalfWidth]],DiscreteStatsTable[[#This Row],[BatchMeansHalfWidth]])</f>
        <v>3E+20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1</v>
      </c>
      <c r="D10" t="s">
        <v>83</v>
      </c>
      <c r="E10" t="s">
        <v>88</v>
      </c>
      <c r="F10" t="s">
        <v>85</v>
      </c>
      <c r="G10">
        <v>96.058057238128299</v>
      </c>
      <c r="H10">
        <v>3E+20</v>
      </c>
      <c r="I10">
        <v>24</v>
      </c>
      <c r="J10">
        <v>299</v>
      </c>
      <c r="K10">
        <v>642</v>
      </c>
      <c r="L10" t="str">
        <f>DiscreteStatsTable[[#This Row],[ProjectName]]&amp;DiscreteStatsTable[[#This Row],[Name]]&amp;DiscreteStatsTable[[#This Row],[Type]]&amp;DiscreteStatsTable[[#This Row],[Source]]</f>
        <v>Unnamed ProjectproductTransfer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96.058057238128299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96.058057238128299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96.058057238128299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24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299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642</v>
      </c>
      <c r="W10">
        <f>IF((DiscreteStatsTable[[#This Row],[RepsRequested]]&gt;1),DiscreteStatsTable[[#This Row],[HalfWidth]],DiscreteStatsTable[[#This Row],[BatchMeansHalfWidth]])</f>
        <v>3E+20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1</v>
      </c>
      <c r="D11" t="s">
        <v>83</v>
      </c>
      <c r="E11" t="s">
        <v>89</v>
      </c>
      <c r="F11" t="s">
        <v>85</v>
      </c>
      <c r="G11">
        <v>0</v>
      </c>
      <c r="H11">
        <v>0</v>
      </c>
      <c r="I11">
        <v>0</v>
      </c>
      <c r="J11">
        <v>0</v>
      </c>
      <c r="K11">
        <v>642</v>
      </c>
      <c r="L11" t="str">
        <f>DiscreteStatsTable[[#This Row],[ProjectName]]&amp;DiscreteStatsTable[[#This Row],[Name]]&amp;DiscreteStatsTable[[#This Row],[Type]]&amp;DiscreteStatsTable[[#This Row],[Source]]</f>
        <v>Unnamed ProjectproductVA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642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1</v>
      </c>
      <c r="D12" t="s">
        <v>83</v>
      </c>
      <c r="E12" t="s">
        <v>90</v>
      </c>
      <c r="F12" t="s">
        <v>85</v>
      </c>
      <c r="G12">
        <v>51.968910074041901</v>
      </c>
      <c r="H12">
        <v>3E+20</v>
      </c>
      <c r="I12">
        <v>7.34731443808381</v>
      </c>
      <c r="J12">
        <v>174.717345093456</v>
      </c>
      <c r="K12">
        <v>642</v>
      </c>
      <c r="L12" t="str">
        <f>DiscreteStatsTable[[#This Row],[ProjectName]]&amp;DiscreteStatsTable[[#This Row],[Name]]&amp;DiscreteStatsTable[[#This Row],[Type]]&amp;DiscreteStatsTable[[#This Row],[Source]]</f>
        <v>Unnamed ProjectproductWait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51.968910074041901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51.968910074041901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51.968910074041901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7.34731443808381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174.717345093456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642</v>
      </c>
      <c r="W12">
        <f>IF((DiscreteStatsTable[[#This Row],[RepsRequested]]&gt;1),DiscreteStatsTable[[#This Row],[HalfWidth]],DiscreteStatsTable[[#This Row],[BatchMeansHalfWidth]])</f>
        <v>3E+20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1</v>
      </c>
      <c r="D13" t="s">
        <v>76</v>
      </c>
      <c r="E13" t="s">
        <v>71</v>
      </c>
      <c r="F13" t="s">
        <v>72</v>
      </c>
      <c r="G13">
        <v>2.2460981581049801</v>
      </c>
      <c r="H13">
        <v>0.598526642184254</v>
      </c>
      <c r="I13">
        <v>0</v>
      </c>
      <c r="J13">
        <v>38.700458958961498</v>
      </c>
      <c r="K13">
        <v>649</v>
      </c>
      <c r="L13" t="str">
        <f>DiscreteStatsTable[[#This Row],[ProjectName]]&amp;DiscreteStatsTable[[#This Row],[Name]]&amp;DiscreteStatsTable[[#This Row],[Type]]&amp;DiscreteStatsTable[[#This Row],[Source]]</f>
        <v>Unnamed ProjectSeize ws1.QueueWaiting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2.2460981581049801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2.2460981581049801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2.2460981581049801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38.700458958961498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649</v>
      </c>
      <c r="W13">
        <f>IF((DiscreteStatsTable[[#This Row],[RepsRequested]]&gt;1),DiscreteStatsTable[[#This Row],[HalfWidth]],DiscreteStatsTable[[#This Row],[BatchMeansHalfWidth]])</f>
        <v>0.598526642184254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69</v>
      </c>
      <c r="C14">
        <v>1</v>
      </c>
      <c r="D14" t="s">
        <v>77</v>
      </c>
      <c r="E14" t="s">
        <v>71</v>
      </c>
      <c r="F14" t="s">
        <v>72</v>
      </c>
      <c r="G14">
        <v>8.4327943168214201</v>
      </c>
      <c r="H14">
        <v>3E+20</v>
      </c>
      <c r="I14">
        <v>0</v>
      </c>
      <c r="J14">
        <v>106.173387762131</v>
      </c>
      <c r="K14">
        <v>647</v>
      </c>
      <c r="L14" t="str">
        <f>DiscreteStatsTable[[#This Row],[ProjectName]]&amp;DiscreteStatsTable[[#This Row],[Name]]&amp;DiscreteStatsTable[[#This Row],[Type]]&amp;DiscreteStatsTable[[#This Row],[Source]]</f>
        <v>Unnamed ProjectSeize ws2.QueueWaiting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8.4327943168214201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8.4327943168214201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8.4327943168214201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106.173387762131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647</v>
      </c>
      <c r="W14">
        <f>IF((DiscreteStatsTable[[#This Row],[RepsRequested]]&gt;1),DiscreteStatsTable[[#This Row],[HalfWidth]],DiscreteStatsTable[[#This Row],[BatchMeansHalfWidth]])</f>
        <v>3E+20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69</v>
      </c>
      <c r="C15">
        <v>1</v>
      </c>
      <c r="D15" t="s">
        <v>78</v>
      </c>
      <c r="E15" t="s">
        <v>71</v>
      </c>
      <c r="F15" t="s">
        <v>72</v>
      </c>
      <c r="G15">
        <v>11.779542975147899</v>
      </c>
      <c r="H15">
        <v>3E+20</v>
      </c>
      <c r="I15">
        <v>0</v>
      </c>
      <c r="J15">
        <v>106.199127961362</v>
      </c>
      <c r="K15">
        <v>645</v>
      </c>
      <c r="L15" t="str">
        <f>DiscreteStatsTable[[#This Row],[ProjectName]]&amp;DiscreteStatsTable[[#This Row],[Name]]&amp;DiscreteStatsTable[[#This Row],[Type]]&amp;DiscreteStatsTable[[#This Row],[Source]]</f>
        <v>Unnamed ProjectSeize ws3.QueueWaiting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11.779542975147899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11.779542975147899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11.779542975147899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106.199127961362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645</v>
      </c>
      <c r="W15">
        <f>IF((DiscreteStatsTable[[#This Row],[RepsRequested]]&gt;1),DiscreteStatsTable[[#This Row],[HalfWidth]],DiscreteStatsTable[[#This Row],[BatchMeansHalfWidth]])</f>
        <v>3E+20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66</v>
      </c>
      <c r="B16" t="s">
        <v>69</v>
      </c>
      <c r="C16">
        <v>1</v>
      </c>
      <c r="D16" t="s">
        <v>79</v>
      </c>
      <c r="E16" t="s">
        <v>71</v>
      </c>
      <c r="F16" t="s">
        <v>72</v>
      </c>
      <c r="G16">
        <v>7.1775537831069602</v>
      </c>
      <c r="H16">
        <v>1.5406778713820799</v>
      </c>
      <c r="I16">
        <v>0</v>
      </c>
      <c r="J16">
        <v>54.7458451035859</v>
      </c>
      <c r="K16">
        <v>643</v>
      </c>
      <c r="L16" t="str">
        <f>DiscreteStatsTable[[#This Row],[ProjectName]]&amp;DiscreteStatsTable[[#This Row],[Name]]&amp;DiscreteStatsTable[[#This Row],[Type]]&amp;DiscreteStatsTable[[#This Row],[Source]]</f>
        <v>Unnamed ProjectSeize ws4.QueueWaiting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7.1775537831069602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7.1775537831069602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7.1775537831069602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54.7458451035859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643</v>
      </c>
      <c r="W16">
        <f>IF((DiscreteStatsTable[[#This Row],[RepsRequested]]&gt;1),DiscreteStatsTable[[#This Row],[HalfWidth]],DiscreteStatsTable[[#This Row],[BatchMeansHalfWidth]])</f>
        <v>1.5406778713820799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</v>
      </c>
      <c r="Y16">
        <f>IF(DiscreteStatsTable[[#This Row],[RepsRequested]]=DiscreteStatsTable[[#This Row],[RepsWithStatObserved]],1,0)</f>
        <v>1</v>
      </c>
    </row>
  </sheetData>
  <phoneticPr fontId="2" type="noConversion"/>
  <conditionalFormatting sqref="H2:H16 Q2:Q16">
    <cfRule type="expression" dxfId="20" priority="23">
      <formula>H2=200000000000000000000</formula>
    </cfRule>
  </conditionalFormatting>
  <conditionalFormatting sqref="H2:H16">
    <cfRule type="expression" dxfId="19" priority="21">
      <formula>H2=300000000000000000000</formula>
    </cfRule>
  </conditionalFormatting>
  <conditionalFormatting sqref="L2:Y16">
    <cfRule type="expression" dxfId="18" priority="19">
      <formula>MOD(ROW(),2)=0</formula>
    </cfRule>
  </conditionalFormatting>
  <conditionalFormatting sqref="Y2:Y16">
    <cfRule type="expression" dxfId="17" priority="14">
      <formula>Y2=0</formula>
    </cfRule>
    <cfRule type="expression" dxfId="16" priority="16">
      <formula>Y2=1</formula>
    </cfRule>
  </conditionalFormatting>
  <conditionalFormatting sqref="Y3:Y16">
    <cfRule type="expression" dxfId="15" priority="15">
      <formula>Y3=1</formula>
    </cfRule>
  </conditionalFormatting>
  <conditionalFormatting sqref="W2:W16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6 W2:W16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2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6.179687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0.5429687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70</v>
      </c>
      <c r="E2" t="s">
        <v>91</v>
      </c>
      <c r="F2" t="s">
        <v>72</v>
      </c>
      <c r="G2">
        <v>7.8403484734672804E-2</v>
      </c>
      <c r="H2">
        <v>3E+20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ProjectAccess ws1.QueueNumber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7.8403484734672804E-2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7.8403484734672804E-2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7.8403484734672804E-2</v>
      </c>
      <c r="U2">
        <f>IF((ContinuousStatsTable[[#This Row],[RepsRequested]]&gt;1),ContinuousStatsTable[[#This Row],[HalfWidth]],ContinuousStatsTable[[#This Row],[BatchMeansHalfWidth]])</f>
        <v>3E+20</v>
      </c>
    </row>
    <row r="3" spans="1:21" x14ac:dyDescent="0.35">
      <c r="A3" t="s">
        <v>66</v>
      </c>
      <c r="B3" t="s">
        <v>69</v>
      </c>
      <c r="C3">
        <v>1</v>
      </c>
      <c r="D3" t="s">
        <v>73</v>
      </c>
      <c r="E3" t="s">
        <v>91</v>
      </c>
      <c r="F3" t="s">
        <v>72</v>
      </c>
      <c r="G3">
        <v>0.178846585012403</v>
      </c>
      <c r="H3">
        <v>3E+20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ProjectAccess ws2.QueueNumber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0.178846585012403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0.178846585012403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0.178846585012403</v>
      </c>
      <c r="U3">
        <f>IF((ContinuousStatsTable[[#This Row],[RepsRequested]]&gt;1),ContinuousStatsTable[[#This Row],[HalfWidth]],ContinuousStatsTable[[#This Row],[BatchMeansHalfWidth]])</f>
        <v>3E+20</v>
      </c>
    </row>
    <row r="4" spans="1:21" x14ac:dyDescent="0.35">
      <c r="A4" t="s">
        <v>66</v>
      </c>
      <c r="B4" t="s">
        <v>69</v>
      </c>
      <c r="C4">
        <v>1</v>
      </c>
      <c r="D4" t="s">
        <v>74</v>
      </c>
      <c r="E4" t="s">
        <v>91</v>
      </c>
      <c r="F4" t="s">
        <v>72</v>
      </c>
      <c r="G4">
        <v>3.0279663115086501E-2</v>
      </c>
      <c r="H4">
        <v>2.3856456025175702E-3</v>
      </c>
      <c r="I4">
        <v>0</v>
      </c>
      <c r="J4">
        <v>1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ProjectAccess ws3.QueueNumber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3.0279663115086501E-2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3.0279663115086501E-2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3.0279663115086501E-2</v>
      </c>
      <c r="U4">
        <f>IF((ContinuousStatsTable[[#This Row],[RepsRequested]]&gt;1),ContinuousStatsTable[[#This Row],[HalfWidth]],ContinuousStatsTable[[#This Row],[BatchMeansHalfWidth]])</f>
        <v>2.3856456025175702E-3</v>
      </c>
    </row>
    <row r="5" spans="1:21" x14ac:dyDescent="0.35">
      <c r="A5" t="s">
        <v>66</v>
      </c>
      <c r="B5" t="s">
        <v>69</v>
      </c>
      <c r="C5">
        <v>1</v>
      </c>
      <c r="D5" t="s">
        <v>75</v>
      </c>
      <c r="E5" t="s">
        <v>91</v>
      </c>
      <c r="F5" t="s">
        <v>72</v>
      </c>
      <c r="G5">
        <v>0.85422822953898603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ProjectHold.QueueNumber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0.85422822953898603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0.85422822953898603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0.85422822953898603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5">
      <c r="A6" t="s">
        <v>66</v>
      </c>
      <c r="B6" t="s">
        <v>69</v>
      </c>
      <c r="C6">
        <v>1</v>
      </c>
      <c r="D6" t="s">
        <v>76</v>
      </c>
      <c r="E6" t="s">
        <v>91</v>
      </c>
      <c r="F6" t="s">
        <v>72</v>
      </c>
      <c r="G6">
        <v>0.145771770461013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ProjectSeize ws1.QueueNumber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0.145771770461013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0.145771770461013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0.145771770461013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5">
      <c r="A7" t="s">
        <v>66</v>
      </c>
      <c r="B7" t="s">
        <v>69</v>
      </c>
      <c r="C7">
        <v>1</v>
      </c>
      <c r="D7" t="s">
        <v>77</v>
      </c>
      <c r="E7" t="s">
        <v>91</v>
      </c>
      <c r="F7" t="s">
        <v>72</v>
      </c>
      <c r="G7">
        <v>0.54560179229834604</v>
      </c>
      <c r="H7">
        <v>3E+20</v>
      </c>
      <c r="I7">
        <v>0</v>
      </c>
      <c r="J7">
        <v>1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ProjectSeize ws2.QueueNumber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0.54560179229834604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0.54560179229834604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0.54560179229834604</v>
      </c>
      <c r="U7">
        <f>IF((ContinuousStatsTable[[#This Row],[RepsRequested]]&gt;1),ContinuousStatsTable[[#This Row],[HalfWidth]],ContinuousStatsTable[[#This Row],[BatchMeansHalfWidth]])</f>
        <v>3E+20</v>
      </c>
    </row>
    <row r="8" spans="1:21" x14ac:dyDescent="0.35">
      <c r="A8" t="s">
        <v>66</v>
      </c>
      <c r="B8" t="s">
        <v>69</v>
      </c>
      <c r="C8">
        <v>1</v>
      </c>
      <c r="D8" t="s">
        <v>78</v>
      </c>
      <c r="E8" t="s">
        <v>91</v>
      </c>
      <c r="F8" t="s">
        <v>72</v>
      </c>
      <c r="G8">
        <v>0.761230519237445</v>
      </c>
      <c r="H8">
        <v>3E+20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ProjectSeize ws3.QueueNumber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0.761230519237445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0.761230519237445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0.761230519237445</v>
      </c>
      <c r="U8">
        <f>IF((ContinuousStatsTable[[#This Row],[RepsRequested]]&gt;1),ContinuousStatsTable[[#This Row],[HalfWidth]],ContinuousStatsTable[[#This Row],[BatchMeansHalfWidth]])</f>
        <v>3E+20</v>
      </c>
    </row>
    <row r="9" spans="1:21" x14ac:dyDescent="0.35">
      <c r="A9" t="s">
        <v>66</v>
      </c>
      <c r="B9" t="s">
        <v>69</v>
      </c>
      <c r="C9">
        <v>1</v>
      </c>
      <c r="D9" t="s">
        <v>79</v>
      </c>
      <c r="E9" t="s">
        <v>91</v>
      </c>
      <c r="F9" t="s">
        <v>72</v>
      </c>
      <c r="G9">
        <v>0.46167573368517001</v>
      </c>
      <c r="H9">
        <v>0.103751540344709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ProjectSeize ws4.QueueNumber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0.46167573368517001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0.46167573368517001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0.46167573368517001</v>
      </c>
      <c r="U9">
        <f>IF((ContinuousStatsTable[[#This Row],[RepsRequested]]&gt;1),ContinuousStatsTable[[#This Row],[HalfWidth]],ContinuousStatsTable[[#This Row],[BatchMeansHalfWidth]])</f>
        <v>0.103751540344709</v>
      </c>
    </row>
    <row r="10" spans="1:21" x14ac:dyDescent="0.35">
      <c r="A10" t="s">
        <v>66</v>
      </c>
      <c r="B10" t="s">
        <v>69</v>
      </c>
      <c r="C10">
        <v>1</v>
      </c>
      <c r="D10" t="s">
        <v>83</v>
      </c>
      <c r="E10" t="s">
        <v>92</v>
      </c>
      <c r="F10" t="s">
        <v>85</v>
      </c>
      <c r="G10">
        <v>12.4723535198366</v>
      </c>
      <c r="H10">
        <v>3E+20</v>
      </c>
      <c r="I10">
        <v>0</v>
      </c>
      <c r="J10">
        <v>21</v>
      </c>
      <c r="K10">
        <v>8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ProjectproductWIPEntity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12.4723535198366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12.4723535198366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12.4723535198366</v>
      </c>
      <c r="U10">
        <f>IF((ContinuousStatsTable[[#This Row],[RepsRequested]]&gt;1),ContinuousStatsTable[[#This Row],[HalfWidth]],ContinuousStatsTable[[#This Row],[BatchMeansHalfWidth]])</f>
        <v>3E+20</v>
      </c>
    </row>
    <row r="11" spans="1:21" x14ac:dyDescent="0.35">
      <c r="A11" t="s">
        <v>66</v>
      </c>
      <c r="B11" t="s">
        <v>69</v>
      </c>
      <c r="C11">
        <v>1</v>
      </c>
      <c r="D11" t="s">
        <v>93</v>
      </c>
      <c r="E11" t="s">
        <v>94</v>
      </c>
      <c r="F11" t="s">
        <v>95</v>
      </c>
      <c r="G11">
        <v>0.85422822953898603</v>
      </c>
      <c r="H11">
        <v>2E+20</v>
      </c>
      <c r="I11">
        <v>0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Projectws1Instantaneous UtilizationResource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0.85422822953898603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0.85422822953898603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0.85422822953898603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5">
      <c r="A12" t="s">
        <v>66</v>
      </c>
      <c r="B12" t="s">
        <v>69</v>
      </c>
      <c r="C12">
        <v>1</v>
      </c>
      <c r="D12" t="s">
        <v>93</v>
      </c>
      <c r="E12" t="s">
        <v>96</v>
      </c>
      <c r="F12" t="s">
        <v>95</v>
      </c>
      <c r="G12">
        <v>0.85422822953898603</v>
      </c>
      <c r="H12">
        <v>2E+20</v>
      </c>
      <c r="I12">
        <v>0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Projectws1Number BusyResource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0.85422822953898603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0.85422822953898603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0.85422822953898603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35">
      <c r="A13" t="s">
        <v>66</v>
      </c>
      <c r="B13" t="s">
        <v>69</v>
      </c>
      <c r="C13">
        <v>1</v>
      </c>
      <c r="D13" t="s">
        <v>93</v>
      </c>
      <c r="E13" t="s">
        <v>97</v>
      </c>
      <c r="F13" t="s">
        <v>95</v>
      </c>
      <c r="G13">
        <v>1</v>
      </c>
      <c r="H13">
        <v>2E+20</v>
      </c>
      <c r="I13">
        <v>1</v>
      </c>
      <c r="J13">
        <v>1</v>
      </c>
      <c r="K13">
        <v>1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Projectws1Number ScheduledResource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1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1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1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35">
      <c r="A14" t="s">
        <v>66</v>
      </c>
      <c r="B14" t="s">
        <v>69</v>
      </c>
      <c r="C14">
        <v>1</v>
      </c>
      <c r="D14" t="s">
        <v>98</v>
      </c>
      <c r="E14" t="s">
        <v>94</v>
      </c>
      <c r="F14" t="s">
        <v>95</v>
      </c>
      <c r="G14">
        <v>0.76251011580628503</v>
      </c>
      <c r="H14">
        <v>3E+20</v>
      </c>
      <c r="I14">
        <v>0</v>
      </c>
      <c r="J14">
        <v>1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Projectws2Instantaneous UtilizationResource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0.76251011580628503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0.76251011580628503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0.76251011580628503</v>
      </c>
      <c r="U14" s="5">
        <f>IF((ContinuousStatsTable[[#This Row],[RepsRequested]]&gt;1),ContinuousStatsTable[[#This Row],[HalfWidth]],ContinuousStatsTable[[#This Row],[BatchMeansHalfWidth]])</f>
        <v>3E+20</v>
      </c>
    </row>
    <row r="15" spans="1:21" x14ac:dyDescent="0.35">
      <c r="A15" t="s">
        <v>66</v>
      </c>
      <c r="B15" t="s">
        <v>69</v>
      </c>
      <c r="C15">
        <v>1</v>
      </c>
      <c r="D15" t="s">
        <v>98</v>
      </c>
      <c r="E15" t="s">
        <v>96</v>
      </c>
      <c r="F15" t="s">
        <v>95</v>
      </c>
      <c r="G15">
        <v>0.76251011580628503</v>
      </c>
      <c r="H15">
        <v>3E+20</v>
      </c>
      <c r="I15">
        <v>0</v>
      </c>
      <c r="J15">
        <v>1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Projectws2Number BusyResource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0.76251011580628503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0.76251011580628503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0.76251011580628503</v>
      </c>
      <c r="U15" s="5">
        <f>IF((ContinuousStatsTable[[#This Row],[RepsRequested]]&gt;1),ContinuousStatsTable[[#This Row],[HalfWidth]],ContinuousStatsTable[[#This Row],[BatchMeansHalfWidth]])</f>
        <v>3E+20</v>
      </c>
    </row>
    <row r="16" spans="1:21" x14ac:dyDescent="0.35">
      <c r="A16" t="s">
        <v>66</v>
      </c>
      <c r="B16" t="s">
        <v>69</v>
      </c>
      <c r="C16">
        <v>1</v>
      </c>
      <c r="D16" t="s">
        <v>98</v>
      </c>
      <c r="E16" t="s">
        <v>97</v>
      </c>
      <c r="F16" t="s">
        <v>95</v>
      </c>
      <c r="G16">
        <v>1</v>
      </c>
      <c r="H16">
        <v>2E+20</v>
      </c>
      <c r="I16">
        <v>1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Projectws2Number ScheduledResource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 s="5">
        <f>IF((ContinuousStatsTable[[#This Row],[RepsRequested]]&gt;1),ContinuousStatsTable[[#This Row],[HalfWidth]],ContinuousStatsTable[[#This Row],[BatchMeansHalfWidth]])</f>
        <v>2E+20</v>
      </c>
    </row>
    <row r="17" spans="1:21" x14ac:dyDescent="0.35">
      <c r="A17" t="s">
        <v>66</v>
      </c>
      <c r="B17" t="s">
        <v>69</v>
      </c>
      <c r="C17">
        <v>1</v>
      </c>
      <c r="D17" t="s">
        <v>99</v>
      </c>
      <c r="E17" t="s">
        <v>94</v>
      </c>
      <c r="F17" t="s">
        <v>95</v>
      </c>
      <c r="G17">
        <v>0.80267194052608704</v>
      </c>
      <c r="H17">
        <v>2E+20</v>
      </c>
      <c r="I17">
        <v>0</v>
      </c>
      <c r="J17">
        <v>1</v>
      </c>
      <c r="K17">
        <v>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Projectws3Instantaneous UtilizationResource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0.80267194052608704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0.80267194052608704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0.80267194052608704</v>
      </c>
      <c r="U17" s="5">
        <f>IF((ContinuousStatsTable[[#This Row],[RepsRequested]]&gt;1),ContinuousStatsTable[[#This Row],[HalfWidth]],ContinuousStatsTable[[#This Row],[BatchMeansHalfWidth]])</f>
        <v>2E+20</v>
      </c>
    </row>
    <row r="18" spans="1:21" x14ac:dyDescent="0.35">
      <c r="A18" t="s">
        <v>66</v>
      </c>
      <c r="B18" t="s">
        <v>69</v>
      </c>
      <c r="C18">
        <v>1</v>
      </c>
      <c r="D18" t="s">
        <v>99</v>
      </c>
      <c r="E18" t="s">
        <v>96</v>
      </c>
      <c r="F18" t="s">
        <v>95</v>
      </c>
      <c r="G18">
        <v>0.80267194052608704</v>
      </c>
      <c r="H18">
        <v>2E+20</v>
      </c>
      <c r="I18">
        <v>0</v>
      </c>
      <c r="J18">
        <v>1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Projectws3Number BusyResource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0.80267194052608704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0.80267194052608704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0.80267194052608704</v>
      </c>
      <c r="U18" s="5">
        <f>IF((ContinuousStatsTable[[#This Row],[RepsRequested]]&gt;1),ContinuousStatsTable[[#This Row],[HalfWidth]],ContinuousStatsTable[[#This Row],[BatchMeansHalfWidth]])</f>
        <v>2E+20</v>
      </c>
    </row>
    <row r="19" spans="1:21" x14ac:dyDescent="0.35">
      <c r="A19" t="s">
        <v>66</v>
      </c>
      <c r="B19" t="s">
        <v>69</v>
      </c>
      <c r="C19">
        <v>1</v>
      </c>
      <c r="D19" t="s">
        <v>99</v>
      </c>
      <c r="E19" t="s">
        <v>97</v>
      </c>
      <c r="F19" t="s">
        <v>95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Projectws3Number ScheduledResource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2E+20</v>
      </c>
    </row>
    <row r="20" spans="1:21" x14ac:dyDescent="0.35">
      <c r="A20" t="s">
        <v>66</v>
      </c>
      <c r="B20" t="s">
        <v>69</v>
      </c>
      <c r="C20">
        <v>1</v>
      </c>
      <c r="D20" t="s">
        <v>100</v>
      </c>
      <c r="E20" t="s">
        <v>94</v>
      </c>
      <c r="F20" t="s">
        <v>95</v>
      </c>
      <c r="G20">
        <v>0.81293270404755202</v>
      </c>
      <c r="H20">
        <v>2E+20</v>
      </c>
      <c r="I20">
        <v>0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Projectws4Instantaneous UtilizationResource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1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0.81293270404755202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0.81293270404755202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0.81293270404755202</v>
      </c>
      <c r="U20" s="5">
        <f>IF((ContinuousStatsTable[[#This Row],[RepsRequested]]&gt;1),ContinuousStatsTable[[#This Row],[HalfWidth]],ContinuousStatsTable[[#This Row],[BatchMeansHalfWidth]])</f>
        <v>2E+20</v>
      </c>
    </row>
    <row r="21" spans="1:21" x14ac:dyDescent="0.35">
      <c r="A21" t="s">
        <v>66</v>
      </c>
      <c r="B21" t="s">
        <v>69</v>
      </c>
      <c r="C21">
        <v>1</v>
      </c>
      <c r="D21" t="s">
        <v>100</v>
      </c>
      <c r="E21" t="s">
        <v>96</v>
      </c>
      <c r="F21" t="s">
        <v>95</v>
      </c>
      <c r="G21">
        <v>0.81293270404755202</v>
      </c>
      <c r="H21">
        <v>2E+20</v>
      </c>
      <c r="I21">
        <v>0</v>
      </c>
      <c r="J21">
        <v>1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Projectws4Number BusyResource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1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0.81293270404755202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0.81293270404755202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0.81293270404755202</v>
      </c>
      <c r="U21" s="5">
        <f>IF((ContinuousStatsTable[[#This Row],[RepsRequested]]&gt;1),ContinuousStatsTable[[#This Row],[HalfWidth]],ContinuousStatsTable[[#This Row],[BatchMeansHalfWidth]])</f>
        <v>2E+20</v>
      </c>
    </row>
    <row r="22" spans="1:21" x14ac:dyDescent="0.35">
      <c r="A22" t="s">
        <v>66</v>
      </c>
      <c r="B22" t="s">
        <v>69</v>
      </c>
      <c r="C22">
        <v>1</v>
      </c>
      <c r="D22" t="s">
        <v>100</v>
      </c>
      <c r="E22" t="s">
        <v>97</v>
      </c>
      <c r="F22" t="s">
        <v>95</v>
      </c>
      <c r="G22">
        <v>1</v>
      </c>
      <c r="H22">
        <v>2E+20</v>
      </c>
      <c r="I22">
        <v>1</v>
      </c>
      <c r="J22">
        <v>1</v>
      </c>
      <c r="K22">
        <v>1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Projectws4Number ScheduledResource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1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1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1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1</v>
      </c>
      <c r="U22" s="5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22">
    <cfRule type="expression" dxfId="11" priority="9">
      <formula>H2=200000000000000000000</formula>
    </cfRule>
  </conditionalFormatting>
  <conditionalFormatting sqref="H2:H22">
    <cfRule type="expression" dxfId="10" priority="7">
      <formula>H2=300000000000000000000</formula>
    </cfRule>
  </conditionalFormatting>
  <conditionalFormatting sqref="M2:U22">
    <cfRule type="expression" dxfId="9" priority="5">
      <formula>MOD(ROW(),2)=0</formula>
    </cfRule>
  </conditionalFormatting>
  <conditionalFormatting sqref="U2:U22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2 U2:U22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2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1.816406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2.0898437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101</v>
      </c>
      <c r="E2" t="s">
        <v>102</v>
      </c>
      <c r="F2" t="s">
        <v>103</v>
      </c>
      <c r="G2">
        <v>642</v>
      </c>
      <c r="H2">
        <v>0</v>
      </c>
      <c r="I2" t="str">
        <f>OutputTable[[#This Row],[ProjectName]]&amp;OutputTable[[#This Row],[Name]]&amp;OutputTable[[#This Row],[Type]]&amp;OutputTable[[#This Row],[Source]]</f>
        <v>Unnamed ProjectSystem.NumberOutNumber OutSystem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642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642</v>
      </c>
      <c r="P2" cm="1">
        <f t="array" ref="P2">MAX(IF((OutputTable[GroupByKey]=OutputTable[[#This Row],[GroupByKey]]),(OutputTable[GroupByKey]=OutputTable[[#This Row],[GroupByKey]])*OutputTable[RecordedValue]))</f>
        <v>642</v>
      </c>
    </row>
    <row r="3" spans="1:16" x14ac:dyDescent="0.35">
      <c r="A3" t="s">
        <v>66</v>
      </c>
      <c r="B3" t="s">
        <v>69</v>
      </c>
      <c r="C3">
        <v>1</v>
      </c>
      <c r="D3" t="s">
        <v>104</v>
      </c>
      <c r="E3" t="s">
        <v>105</v>
      </c>
      <c r="F3" t="s">
        <v>85</v>
      </c>
      <c r="G3">
        <v>650</v>
      </c>
      <c r="H3">
        <v>0</v>
      </c>
      <c r="I3" t="str">
        <f>OutputTable[[#This Row],[ProjectName]]&amp;OutputTable[[#This Row],[Name]]&amp;OutputTable[[#This Row],[Type]]&amp;OutputTable[[#This Row],[Source]]</f>
        <v>Unnamed Projectproduct.NumberInNumber InEntity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650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650</v>
      </c>
      <c r="P3" cm="1">
        <f t="array" ref="P3">MAX(IF((OutputTable[GroupByKey]=OutputTable[[#This Row],[GroupByKey]]),(OutputTable[GroupByKey]=OutputTable[[#This Row],[GroupByKey]])*OutputTable[RecordedValue]))</f>
        <v>650</v>
      </c>
    </row>
    <row r="4" spans="1:16" x14ac:dyDescent="0.35">
      <c r="A4" t="s">
        <v>66</v>
      </c>
      <c r="B4" t="s">
        <v>69</v>
      </c>
      <c r="C4">
        <v>1</v>
      </c>
      <c r="D4" t="s">
        <v>106</v>
      </c>
      <c r="E4" t="s">
        <v>102</v>
      </c>
      <c r="F4" t="s">
        <v>85</v>
      </c>
      <c r="G4">
        <v>642</v>
      </c>
      <c r="H4">
        <v>0</v>
      </c>
      <c r="I4" t="str">
        <f>OutputTable[[#This Row],[ProjectName]]&amp;OutputTable[[#This Row],[Name]]&amp;OutputTable[[#This Row],[Type]]&amp;OutputTable[[#This Row],[Source]]</f>
        <v>Unnamed Projectproduct.NumberOutNumber OutEntity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642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642</v>
      </c>
      <c r="P4" cm="1">
        <f t="array" ref="P4">MAX(IF((OutputTable[GroupByKey]=OutputTable[[#This Row],[GroupByKey]]),(OutputTable[GroupByKey]=OutputTable[[#This Row],[GroupByKey]])*OutputTable[RecordedValue]))</f>
        <v>642</v>
      </c>
    </row>
    <row r="5" spans="1:16" x14ac:dyDescent="0.35">
      <c r="A5" t="s">
        <v>66</v>
      </c>
      <c r="B5" t="s">
        <v>69</v>
      </c>
      <c r="C5">
        <v>1</v>
      </c>
      <c r="D5" t="s">
        <v>107</v>
      </c>
      <c r="E5" t="s">
        <v>108</v>
      </c>
      <c r="F5" t="s">
        <v>95</v>
      </c>
      <c r="G5">
        <v>649</v>
      </c>
      <c r="H5">
        <v>0</v>
      </c>
      <c r="I5" t="str">
        <f>OutputTable[[#This Row],[ProjectName]]&amp;OutputTable[[#This Row],[Name]]&amp;OutputTable[[#This Row],[Type]]&amp;OutputTable[[#This Row],[Source]]</f>
        <v>Unnamed Projectws1.NumberSeizedTotal Number SeizedResource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649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649</v>
      </c>
      <c r="P5" cm="1">
        <f t="array" ref="P5">MAX(IF((OutputTable[GroupByKey]=OutputTable[[#This Row],[GroupByKey]]),(OutputTable[GroupByKey]=OutputTable[[#This Row],[GroupByKey]])*OutputTable[RecordedValue]))</f>
        <v>649</v>
      </c>
    </row>
    <row r="6" spans="1:16" x14ac:dyDescent="0.35">
      <c r="A6" t="s">
        <v>66</v>
      </c>
      <c r="B6" t="s">
        <v>69</v>
      </c>
      <c r="C6">
        <v>1</v>
      </c>
      <c r="D6" t="s">
        <v>109</v>
      </c>
      <c r="E6" t="s">
        <v>110</v>
      </c>
      <c r="F6" t="s">
        <v>95</v>
      </c>
      <c r="G6">
        <v>0.85422822953898603</v>
      </c>
      <c r="H6">
        <v>0</v>
      </c>
      <c r="I6" t="str">
        <f>OutputTable[[#This Row],[ProjectName]]&amp;OutputTable[[#This Row],[Name]]&amp;OutputTable[[#This Row],[Type]]&amp;OutputTable[[#This Row],[Source]]</f>
        <v>Unnamed Projectws1.ScheduledUtilizationScheduled UtilizationResource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0.85422822953898603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0.85422822953898603</v>
      </c>
      <c r="P6" cm="1">
        <f t="array" ref="P6">MAX(IF((OutputTable[GroupByKey]=OutputTable[[#This Row],[GroupByKey]]),(OutputTable[GroupByKey]=OutputTable[[#This Row],[GroupByKey]])*OutputTable[RecordedValue]))</f>
        <v>0.85422822953898603</v>
      </c>
    </row>
    <row r="7" spans="1:16" x14ac:dyDescent="0.35">
      <c r="A7" t="s">
        <v>66</v>
      </c>
      <c r="B7" t="s">
        <v>69</v>
      </c>
      <c r="C7">
        <v>1</v>
      </c>
      <c r="D7" t="s">
        <v>111</v>
      </c>
      <c r="E7" t="s">
        <v>108</v>
      </c>
      <c r="F7" t="s">
        <v>95</v>
      </c>
      <c r="G7">
        <v>647</v>
      </c>
      <c r="H7">
        <v>0</v>
      </c>
      <c r="I7" t="str">
        <f>OutputTable[[#This Row],[ProjectName]]&amp;OutputTable[[#This Row],[Name]]&amp;OutputTable[[#This Row],[Type]]&amp;OutputTable[[#This Row],[Source]]</f>
        <v>Unnamed Projectws2.NumberSeizedTotal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647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647</v>
      </c>
      <c r="P7" cm="1">
        <f t="array" ref="P7">MAX(IF((OutputTable[GroupByKey]=OutputTable[[#This Row],[GroupByKey]]),(OutputTable[GroupByKey]=OutputTable[[#This Row],[GroupByKey]])*OutputTable[RecordedValue]))</f>
        <v>647</v>
      </c>
    </row>
    <row r="8" spans="1:16" x14ac:dyDescent="0.35">
      <c r="A8" t="s">
        <v>66</v>
      </c>
      <c r="B8" t="s">
        <v>69</v>
      </c>
      <c r="C8">
        <v>1</v>
      </c>
      <c r="D8" t="s">
        <v>112</v>
      </c>
      <c r="E8" t="s">
        <v>110</v>
      </c>
      <c r="F8" t="s">
        <v>95</v>
      </c>
      <c r="G8">
        <v>0.76251011580628503</v>
      </c>
      <c r="H8">
        <v>0</v>
      </c>
      <c r="I8" t="str">
        <f>OutputTable[[#This Row],[ProjectName]]&amp;OutputTable[[#This Row],[Name]]&amp;OutputTable[[#This Row],[Type]]&amp;OutputTable[[#This Row],[Source]]</f>
        <v>Unnamed Projectws2.ScheduledUtilizationScheduled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0.76251011580628503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0.76251011580628503</v>
      </c>
      <c r="P8" cm="1">
        <f t="array" ref="P8">MAX(IF((OutputTable[GroupByKey]=OutputTable[[#This Row],[GroupByKey]]),(OutputTable[GroupByKey]=OutputTable[[#This Row],[GroupByKey]])*OutputTable[RecordedValue]))</f>
        <v>0.76251011580628503</v>
      </c>
    </row>
    <row r="9" spans="1:16" x14ac:dyDescent="0.35">
      <c r="A9" t="s">
        <v>66</v>
      </c>
      <c r="B9" t="s">
        <v>69</v>
      </c>
      <c r="C9">
        <v>1</v>
      </c>
      <c r="D9" t="s">
        <v>113</v>
      </c>
      <c r="E9" t="s">
        <v>108</v>
      </c>
      <c r="F9" t="s">
        <v>95</v>
      </c>
      <c r="G9">
        <v>645</v>
      </c>
      <c r="H9">
        <v>0</v>
      </c>
      <c r="I9" t="str">
        <f>OutputTable[[#This Row],[ProjectName]]&amp;OutputTable[[#This Row],[Name]]&amp;OutputTable[[#This Row],[Type]]&amp;OutputTable[[#This Row],[Source]]</f>
        <v>Unnamed Projectws3.NumberSeizedTotal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645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645</v>
      </c>
      <c r="P9" cm="1">
        <f t="array" ref="P9">MAX(IF((OutputTable[GroupByKey]=OutputTable[[#This Row],[GroupByKey]]),(OutputTable[GroupByKey]=OutputTable[[#This Row],[GroupByKey]])*OutputTable[RecordedValue]))</f>
        <v>645</v>
      </c>
    </row>
    <row r="10" spans="1:16" x14ac:dyDescent="0.35">
      <c r="A10" t="s">
        <v>66</v>
      </c>
      <c r="B10" t="s">
        <v>69</v>
      </c>
      <c r="C10">
        <v>1</v>
      </c>
      <c r="D10" t="s">
        <v>114</v>
      </c>
      <c r="E10" t="s">
        <v>110</v>
      </c>
      <c r="F10" t="s">
        <v>95</v>
      </c>
      <c r="G10">
        <v>0.80267194052608704</v>
      </c>
      <c r="H10">
        <v>0</v>
      </c>
      <c r="I10" t="str">
        <f>OutputTable[[#This Row],[ProjectName]]&amp;OutputTable[[#This Row],[Name]]&amp;OutputTable[[#This Row],[Type]]&amp;OutputTable[[#This Row],[Source]]</f>
        <v>Unnamed Projectws3.ScheduledUtilizationScheduled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0.80267194052608704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0.80267194052608704</v>
      </c>
      <c r="P10" cm="1">
        <f t="array" ref="P10">MAX(IF((OutputTable[GroupByKey]=OutputTable[[#This Row],[GroupByKey]]),(OutputTable[GroupByKey]=OutputTable[[#This Row],[GroupByKey]])*OutputTable[RecordedValue]))</f>
        <v>0.80267194052608704</v>
      </c>
    </row>
    <row r="11" spans="1:16" x14ac:dyDescent="0.35">
      <c r="A11" t="s">
        <v>66</v>
      </c>
      <c r="B11" t="s">
        <v>69</v>
      </c>
      <c r="C11">
        <v>1</v>
      </c>
      <c r="D11" t="s">
        <v>115</v>
      </c>
      <c r="E11" t="s">
        <v>108</v>
      </c>
      <c r="F11" t="s">
        <v>95</v>
      </c>
      <c r="G11">
        <v>643</v>
      </c>
      <c r="H11">
        <v>0</v>
      </c>
      <c r="I11" t="str">
        <f>OutputTable[[#This Row],[ProjectName]]&amp;OutputTable[[#This Row],[Name]]&amp;OutputTable[[#This Row],[Type]]&amp;OutputTable[[#This Row],[Source]]</f>
        <v>Unnamed Projectws4.NumberSeizedTotal Number SeizedResource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643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643</v>
      </c>
      <c r="P11" cm="1">
        <f t="array" ref="P11">MAX(IF((OutputTable[GroupByKey]=OutputTable[[#This Row],[GroupByKey]]),(OutputTable[GroupByKey]=OutputTable[[#This Row],[GroupByKey]])*OutputTable[RecordedValue]))</f>
        <v>643</v>
      </c>
    </row>
    <row r="12" spans="1:16" x14ac:dyDescent="0.35">
      <c r="A12" t="s">
        <v>66</v>
      </c>
      <c r="B12" t="s">
        <v>69</v>
      </c>
      <c r="C12">
        <v>1</v>
      </c>
      <c r="D12" t="s">
        <v>116</v>
      </c>
      <c r="E12" t="s">
        <v>110</v>
      </c>
      <c r="F12" t="s">
        <v>95</v>
      </c>
      <c r="G12">
        <v>0.81293270404755202</v>
      </c>
      <c r="H12">
        <v>0</v>
      </c>
      <c r="I12" t="str">
        <f>OutputTable[[#This Row],[ProjectName]]&amp;OutputTable[[#This Row],[Name]]&amp;OutputTable[[#This Row],[Type]]&amp;OutputTable[[#This Row],[Source]]</f>
        <v>Unnamed Projectws4.ScheduledUtilizationScheduled UtilizationResource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0.81293270404755202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0.81293270404755202</v>
      </c>
      <c r="P12" cm="1">
        <f t="array" ref="P12">MAX(IF((OutputTable[GroupByKey]=OutputTable[[#This Row],[GroupByKey]]),(OutputTable[GroupByKey]=OutputTable[[#This Row],[GroupByKey]])*OutputTable[RecordedValue]))</f>
        <v>0.81293270404755202</v>
      </c>
    </row>
  </sheetData>
  <phoneticPr fontId="2" type="noConversion"/>
  <conditionalFormatting sqref="I2:P12">
    <cfRule type="expression" dxfId="3" priority="2">
      <formula>MOD(ROW(),2)=0</formula>
    </cfRule>
  </conditionalFormatting>
  <conditionalFormatting sqref="N2:N12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26953125" bestFit="1" customWidth="1"/>
    <col min="19" max="19" width="28.26953125" bestFit="1" customWidth="1"/>
    <col min="20" max="20" width="26.26953125" bestFit="1" customWidth="1"/>
    <col min="21" max="21" width="29.81640625" bestFit="1" customWidth="1"/>
    <col min="22" max="22" width="31.81640625" bestFit="1" customWidth="1"/>
    <col min="23" max="23" width="32.17968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2026-07-23T19:37:00Z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