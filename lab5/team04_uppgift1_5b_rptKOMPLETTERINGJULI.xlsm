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orationer\"/>
    </mc:Choice>
  </mc:AlternateContent>
  <xr:revisionPtr revIDLastSave="0" documentId="8_{55B88D71-FE78-44BF-A042-848C8430197E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ContinuousTimeStatsByRep!$A$1:$L$19</definedName>
    <definedName name="ExternalData_1" localSheetId="4" hidden="1">CounterStatsByRep!$A$1:$G$2</definedName>
    <definedName name="ExternalData_1" localSheetId="2" hidden="1">DiscreteTimeStatsByRep!$A$1:$K$12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O8" i="20" s="1" a="1"/>
  <c r="I3" i="20"/>
  <c r="I4" i="20"/>
  <c r="I5" i="20"/>
  <c r="I6" i="20"/>
  <c r="I7" i="20"/>
  <c r="I8" i="20"/>
  <c r="I9" i="20"/>
  <c r="O9" i="20" s="1" a="1"/>
  <c r="I10" i="20"/>
  <c r="I11" i="20"/>
  <c r="I12" i="20"/>
  <c r="O12" i="20" s="1" a="1"/>
  <c r="J2" i="20" a="1"/>
  <c r="J3" i="20" a="1"/>
  <c r="J4" i="20" a="1"/>
  <c r="J5" i="20" a="1"/>
  <c r="J6" i="20" a="1"/>
  <c r="J7" i="20" a="1"/>
  <c r="J8" i="20" a="1"/>
  <c r="J9" i="20" a="1"/>
  <c r="J10" i="20" a="1"/>
  <c r="J11" i="20" a="1"/>
  <c r="J12" i="20" a="1"/>
  <c r="K2" i="20" a="1"/>
  <c r="K3" i="20" a="1"/>
  <c r="K4" i="20" a="1"/>
  <c r="K5" i="20" a="1"/>
  <c r="K6" i="20" a="1"/>
  <c r="K7" i="20" a="1"/>
  <c r="K8" i="20" a="1"/>
  <c r="K9" i="20" a="1"/>
  <c r="K10" i="20" a="1"/>
  <c r="K11" i="20" a="1"/>
  <c r="K12" i="20" a="1"/>
  <c r="L2" i="20" a="1"/>
  <c r="L3" i="20" a="1"/>
  <c r="L4" i="20" a="1"/>
  <c r="L5" i="20" a="1"/>
  <c r="L6" i="20" a="1"/>
  <c r="L7" i="20" a="1"/>
  <c r="L8" i="20" a="1"/>
  <c r="L9" i="20" a="1"/>
  <c r="L10" i="20" a="1"/>
  <c r="L11" i="20" a="1"/>
  <c r="L12" i="20" a="1"/>
  <c r="N12" i="20" s="1"/>
  <c r="M2" i="20" a="1"/>
  <c r="M3" i="20" a="1"/>
  <c r="M4" i="20" a="1"/>
  <c r="M5" i="20" a="1"/>
  <c r="M6" i="20" a="1"/>
  <c r="M7" i="20" a="1"/>
  <c r="M8" i="20" a="1"/>
  <c r="M9" i="20" a="1"/>
  <c r="M10" i="20" a="1"/>
  <c r="M11" i="20" a="1"/>
  <c r="M12" i="20" a="1"/>
  <c r="N2" i="20"/>
  <c r="N3" i="20"/>
  <c r="N4" i="20"/>
  <c r="N5" i="20"/>
  <c r="N6" i="20"/>
  <c r="N7" i="20"/>
  <c r="N8" i="20"/>
  <c r="N9" i="20"/>
  <c r="N10" i="20"/>
  <c r="N11" i="20"/>
  <c r="O2" i="20" a="1"/>
  <c r="O3" i="20" a="1"/>
  <c r="O4" i="20" a="1"/>
  <c r="O5" i="20" a="1"/>
  <c r="O6" i="20" a="1"/>
  <c r="O7" i="20" a="1"/>
  <c r="P3" i="20" a="1"/>
  <c r="P4" i="20" a="1"/>
  <c r="P5" i="20" a="1"/>
  <c r="P6" i="20" a="1"/>
  <c r="P7" i="20" a="1"/>
  <c r="P8" i="20" a="1"/>
  <c r="P9" i="20" a="1"/>
  <c r="P10" i="20" a="1"/>
  <c r="P11" i="20" a="1"/>
  <c r="P12" i="20" a="1"/>
  <c r="M2" i="18"/>
  <c r="M3" i="18"/>
  <c r="M4" i="18"/>
  <c r="M5" i="18"/>
  <c r="M6" i="18"/>
  <c r="M7" i="18"/>
  <c r="M8" i="18"/>
  <c r="M9" i="18"/>
  <c r="P12" i="18" s="1" a="1"/>
  <c r="R12" i="18" s="1"/>
  <c r="M10" i="18"/>
  <c r="P10" i="18" s="1" a="1"/>
  <c r="R10" i="18" s="1"/>
  <c r="M11" i="18"/>
  <c r="P11" i="18" s="1" a="1"/>
  <c r="R11" i="18" s="1"/>
  <c r="M12" i="18"/>
  <c r="M13" i="18"/>
  <c r="M14" i="18"/>
  <c r="M15" i="18"/>
  <c r="M16" i="18"/>
  <c r="M17" i="18"/>
  <c r="M18" i="18"/>
  <c r="T18" i="18" s="1" a="1"/>
  <c r="M19" i="18"/>
  <c r="T19" i="18" s="1" a="1"/>
  <c r="N2" i="18" a="1"/>
  <c r="U2" i="18" s="1"/>
  <c r="N3" i="18" a="1"/>
  <c r="U3" i="18" s="1"/>
  <c r="N4" i="18" a="1"/>
  <c r="U4" i="18" s="1"/>
  <c r="N5" i="18" a="1"/>
  <c r="U5" i="18" s="1"/>
  <c r="N6" i="18" a="1"/>
  <c r="U6" i="18" s="1"/>
  <c r="N7" i="18" a="1"/>
  <c r="U7" i="18" s="1"/>
  <c r="N8" i="18" a="1"/>
  <c r="U8" i="18" s="1"/>
  <c r="N9" i="18" a="1"/>
  <c r="U9" i="18" s="1"/>
  <c r="N10" i="18" a="1"/>
  <c r="U10" i="18" s="1"/>
  <c r="N11" i="18" a="1"/>
  <c r="U11" i="18" s="1"/>
  <c r="N12" i="18" a="1"/>
  <c r="U12" i="18" s="1"/>
  <c r="N13" i="18" a="1"/>
  <c r="U13" i="18" s="1"/>
  <c r="N14" i="18" a="1"/>
  <c r="U14" i="18" s="1"/>
  <c r="N15" i="18" a="1"/>
  <c r="U15" i="18" s="1"/>
  <c r="N16" i="18" a="1"/>
  <c r="U16" i="18" s="1"/>
  <c r="N17" i="18" a="1"/>
  <c r="U17" i="18" s="1"/>
  <c r="N18" i="18" a="1"/>
  <c r="U18" i="18" s="1"/>
  <c r="N19" i="18" a="1"/>
  <c r="U19" i="18" s="1"/>
  <c r="O2" i="18" a="1"/>
  <c r="O3" i="18" a="1"/>
  <c r="O4" i="18" a="1"/>
  <c r="O5" i="18" a="1"/>
  <c r="O6" i="18" a="1"/>
  <c r="O7" i="18" a="1"/>
  <c r="O8" i="18" a="1"/>
  <c r="O9" i="18" a="1"/>
  <c r="O10" i="18" a="1"/>
  <c r="O11" i="18" a="1"/>
  <c r="O12" i="18" a="1"/>
  <c r="O13" i="18" a="1"/>
  <c r="O14" i="18" a="1"/>
  <c r="O15" i="18" a="1"/>
  <c r="O16" i="18" a="1"/>
  <c r="O17" i="18" a="1"/>
  <c r="O18" i="18" a="1"/>
  <c r="O19" i="18" a="1"/>
  <c r="P2" i="18" a="1"/>
  <c r="P3" i="18" a="1"/>
  <c r="P4" i="18" a="1"/>
  <c r="P5" i="18" a="1"/>
  <c r="P6" i="18" a="1"/>
  <c r="R6" i="18" s="1"/>
  <c r="P7" i="18" a="1"/>
  <c r="P8" i="18" a="1"/>
  <c r="P13" i="18" a="1"/>
  <c r="P14" i="18" a="1"/>
  <c r="P15" i="18" a="1"/>
  <c r="R15" i="18" s="1"/>
  <c r="P16" i="18" a="1"/>
  <c r="R16" i="18" s="1"/>
  <c r="P17" i="18" a="1"/>
  <c r="R17" i="18" s="1"/>
  <c r="P18" i="18" a="1"/>
  <c r="R18" i="18" s="1"/>
  <c r="P19" i="18" a="1"/>
  <c r="R19" i="18" s="1"/>
  <c r="Q2" i="18" a="1"/>
  <c r="R2" i="18" s="1"/>
  <c r="Q3" i="18" a="1"/>
  <c r="R3" i="18" s="1"/>
  <c r="Q4" i="18" a="1"/>
  <c r="R4" i="18" s="1"/>
  <c r="Q5" i="18" a="1"/>
  <c r="Q6" i="18" a="1"/>
  <c r="Q7" i="18" a="1"/>
  <c r="Q8" i="18" a="1"/>
  <c r="Q9" i="18" a="1"/>
  <c r="Q10" i="18" a="1"/>
  <c r="Q11" i="18" a="1"/>
  <c r="Q12" i="18" a="1"/>
  <c r="Q13" i="18" a="1"/>
  <c r="Q14" i="18" a="1"/>
  <c r="Q15" i="18" a="1"/>
  <c r="Q16" i="18" a="1"/>
  <c r="Q17" i="18" a="1"/>
  <c r="Q18" i="18" a="1"/>
  <c r="Q19" i="18" a="1"/>
  <c r="S2" i="18" a="1"/>
  <c r="S3" i="18" a="1"/>
  <c r="S4" i="18" a="1"/>
  <c r="S5" i="18" a="1"/>
  <c r="S6" i="18" a="1"/>
  <c r="S7" i="18" a="1"/>
  <c r="S8" i="18" a="1"/>
  <c r="S9" i="18" a="1"/>
  <c r="S10" i="18" a="1"/>
  <c r="S11" i="18" a="1"/>
  <c r="S12" i="18" a="1"/>
  <c r="S13" i="18" a="1"/>
  <c r="S14" i="18" a="1"/>
  <c r="S15" i="18" a="1"/>
  <c r="S16" i="18" a="1"/>
  <c r="S17" i="18" a="1"/>
  <c r="S18" i="18" a="1"/>
  <c r="S19" i="18" a="1"/>
  <c r="T2" i="18" a="1"/>
  <c r="T3" i="18" a="1"/>
  <c r="T4" i="18" a="1"/>
  <c r="T5" i="18" a="1"/>
  <c r="T6" i="18" a="1"/>
  <c r="T7" i="18" a="1"/>
  <c r="T8" i="18" a="1"/>
  <c r="T9" i="18" a="1"/>
  <c r="T10" i="18" a="1"/>
  <c r="T11" i="18" a="1"/>
  <c r="T12" i="18" a="1"/>
  <c r="T13" i="18" a="1"/>
  <c r="T14" i="18" a="1"/>
  <c r="T15" i="18" a="1"/>
  <c r="L2" i="17"/>
  <c r="X6" i="17" s="1" a="1"/>
  <c r="Y6" i="17" s="1"/>
  <c r="Q6" i="17" s="1"/>
  <c r="L9" i="17"/>
  <c r="L10" i="17"/>
  <c r="L11" i="17"/>
  <c r="L12" i="17"/>
  <c r="L3" i="17"/>
  <c r="L4" i="17"/>
  <c r="L5" i="17"/>
  <c r="L6" i="17"/>
  <c r="L7" i="17"/>
  <c r="L8" i="17"/>
  <c r="X8" i="17" s="1" a="1"/>
  <c r="Y8" i="17" s="1"/>
  <c r="M2" i="17" a="1"/>
  <c r="M9" i="17" a="1"/>
  <c r="M10" i="17" a="1"/>
  <c r="M11" i="17" a="1"/>
  <c r="M12" i="17" a="1"/>
  <c r="M3" i="17" a="1"/>
  <c r="M4" i="17" a="1"/>
  <c r="M5" i="17" a="1"/>
  <c r="W5" i="17" s="1"/>
  <c r="M6" i="17" a="1"/>
  <c r="W6" i="17" s="1"/>
  <c r="M7" i="17" a="1"/>
  <c r="W7" i="17" s="1"/>
  <c r="M8" i="17" a="1"/>
  <c r="W8" i="17" s="1"/>
  <c r="N2" i="17" a="1"/>
  <c r="N9" i="17" a="1"/>
  <c r="N10" i="17" a="1"/>
  <c r="N11" i="17" a="1"/>
  <c r="N12" i="17" a="1"/>
  <c r="N3" i="17" a="1"/>
  <c r="N4" i="17" a="1"/>
  <c r="N5" i="17" a="1"/>
  <c r="N6" i="17" a="1"/>
  <c r="N7" i="17" a="1"/>
  <c r="N8" i="17" a="1"/>
  <c r="O2" i="17" a="1"/>
  <c r="O9" i="17" a="1"/>
  <c r="O10" i="17" a="1"/>
  <c r="O11" i="17" a="1"/>
  <c r="O12" i="17" a="1"/>
  <c r="O3" i="17" a="1"/>
  <c r="O4" i="17" a="1"/>
  <c r="O5" i="17" a="1"/>
  <c r="O6" i="17" a="1"/>
  <c r="O7" i="17" a="1"/>
  <c r="O8" i="17" a="1"/>
  <c r="P2" i="17" a="1"/>
  <c r="P9" i="17" a="1"/>
  <c r="P10" i="17" a="1"/>
  <c r="P11" i="17" a="1"/>
  <c r="P12" i="17" a="1"/>
  <c r="P3" i="17" a="1"/>
  <c r="P4" i="17" a="1"/>
  <c r="P5" i="17" a="1"/>
  <c r="P6" i="17" a="1"/>
  <c r="P7" i="17" a="1"/>
  <c r="P8" i="17" a="1"/>
  <c r="R7" i="17" a="1"/>
  <c r="R8" i="17" a="1"/>
  <c r="S2" i="17" a="1"/>
  <c r="S9" i="17" a="1"/>
  <c r="S10" i="17" a="1"/>
  <c r="S11" i="17" a="1"/>
  <c r="S12" i="17" a="1"/>
  <c r="S3" i="17" a="1"/>
  <c r="S4" i="17" a="1"/>
  <c r="S5" i="17" a="1"/>
  <c r="S6" i="17" a="1"/>
  <c r="S7" i="17" a="1"/>
  <c r="S8" i="17" a="1"/>
  <c r="T2" i="17" a="1"/>
  <c r="T9" i="17" a="1"/>
  <c r="T10" i="17" a="1"/>
  <c r="T11" i="17" a="1"/>
  <c r="T12" i="17" a="1"/>
  <c r="T3" i="17" a="1"/>
  <c r="T4" i="17" a="1"/>
  <c r="T5" i="17" a="1"/>
  <c r="T6" i="17" a="1"/>
  <c r="T7" i="17" a="1"/>
  <c r="T8" i="17" a="1"/>
  <c r="U2" i="17" a="1"/>
  <c r="U9" i="17" a="1"/>
  <c r="U10" i="17" a="1"/>
  <c r="U11" i="17" a="1"/>
  <c r="U12" i="17" a="1"/>
  <c r="U3" i="17" a="1"/>
  <c r="U4" i="17" a="1"/>
  <c r="U5" i="17" a="1"/>
  <c r="U6" i="17" a="1"/>
  <c r="U7" i="17" a="1"/>
  <c r="U8" i="17" a="1"/>
  <c r="V2" i="17" a="1"/>
  <c r="V9" i="17" a="1"/>
  <c r="V10" i="17" a="1"/>
  <c r="V11" i="17" a="1"/>
  <c r="V12" i="17" a="1"/>
  <c r="V3" i="17" a="1"/>
  <c r="V4" i="17" a="1"/>
  <c r="V5" i="17" a="1"/>
  <c r="V6" i="17" a="1"/>
  <c r="V7" i="17" a="1"/>
  <c r="V8" i="17" a="1"/>
  <c r="W2" i="17"/>
  <c r="W9" i="17"/>
  <c r="W10" i="17"/>
  <c r="W11" i="17"/>
  <c r="W12" i="17"/>
  <c r="W3" i="17"/>
  <c r="X4" i="17" a="1"/>
  <c r="X5" i="17" a="1"/>
  <c r="Y5" i="17" s="1"/>
  <c r="Q5" i="17" s="1"/>
  <c r="G2" i="16"/>
  <c r="O10" i="20" l="1" a="1"/>
  <c r="O11" i="20" a="1"/>
  <c r="P2" i="20" a="1"/>
  <c r="R5" i="18"/>
  <c r="R13" i="18"/>
  <c r="R14" i="18"/>
  <c r="R7" i="18"/>
  <c r="R8" i="18"/>
  <c r="P9" i="18" a="1"/>
  <c r="R9" i="18" s="1"/>
  <c r="T16" i="18" a="1"/>
  <c r="T17" i="18" a="1"/>
  <c r="R6" i="17" a="1"/>
  <c r="Q8" i="17"/>
  <c r="R5" i="17" a="1"/>
  <c r="X7" i="17" a="1"/>
  <c r="Y7" i="17" s="1"/>
  <c r="Q7" i="17" s="1"/>
  <c r="W4" i="17"/>
  <c r="Y4" i="17"/>
  <c r="Q4" i="17" s="1"/>
  <c r="R2" i="17" a="1"/>
  <c r="R9" i="17" a="1"/>
  <c r="R10" i="17" a="1"/>
  <c r="R11" i="17" a="1"/>
  <c r="R12" i="17" a="1"/>
  <c r="R3" i="17" a="1"/>
  <c r="R4" i="17" a="1"/>
  <c r="X2" i="17" a="1"/>
  <c r="Y2" i="17" s="1"/>
  <c r="Q2" i="17" s="1"/>
  <c r="X9" i="17" a="1"/>
  <c r="Y9" i="17" s="1"/>
  <c r="Q9" i="17" s="1"/>
  <c r="X10" i="17" a="1"/>
  <c r="Y10" i="17" s="1"/>
  <c r="Q10" i="17" s="1"/>
  <c r="X11" i="17" a="1"/>
  <c r="Y11" i="17" s="1"/>
  <c r="Q11" i="17" s="1"/>
  <c r="X12" i="17" a="1"/>
  <c r="Y12" i="17" s="1"/>
  <c r="Q12" i="17" s="1"/>
  <c r="X3" i="17" a="1"/>
  <c r="Y3" i="17" s="1"/>
  <c r="Q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orationer\team04_uppgift1_5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orationer\team04_uppgift1_5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orationer\team04_uppgift1_5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orationer\team04_uppgift1_5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orationer\team04_uppgift1_5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orationer\team04_uppgift1_5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<sst xmlns="http://schemas.openxmlformats.org/spreadsheetml/2006/main" count="475" uniqueCount="112">
  <si>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</si>
  <si>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</si>
  <si>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</si>
  <si>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</si>
  <si>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</si>
  <si>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</si>
  <si>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</si>
  <si>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</si>
  <si>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</si>
  <si>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</si>
  <si>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</si>
  <si>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</si>
  <si>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</si>
  <si>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</si>
  <si>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</si>
  <si>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</si>
  <si>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</si>
  <si>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</si>
  <si>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</si>
  <si>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</si>
  <si>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</si>
  <si>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</si>
  <si>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</si>
  <si>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</si>
  <si>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</si>
  <si>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</si>
  <si>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</si>
  <si>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</si>
  <si>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</si>
  <si>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</si>
  <si>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</si>
  <si>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</si>
  <si>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</si>
  <si>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</si>
  <si>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</si>
  <si>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</si>
  <si>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</si>
  <si>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</si>
  <si>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</si>
  <si>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</si>
  <si>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</si>
  <si>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</si>
  <si>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</si>
  <si>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</si>
  <si>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</si>
  <si>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</si>
  <si>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</si>
  <si>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</si>
  <si>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</si>
  <si>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</si>
  <si>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</si>
  <si>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</si>
  <si>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</si>
  <si>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</si>
  <si>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</si>
  <si>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</si>
  <si>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</si>
  <si>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</si>
  <si>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</si>
  <si>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</si>
  <si>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</si>
  <si>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</si>
  <si>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</si>
  <si>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</si>
  <si>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</si>
  <si>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</si>
  <si>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</si>
  <si>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</si>
  <si>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Simulering\Laborationer\team04_uppgift1_5b.p</t>
  </si>
  <si>
    <t>2026-07-23 15:49:06</t>
  </si>
  <si>
    <t>Hold.Queue</t>
  </si>
  <si>
    <t>Waiting Time</t>
  </si>
  <si>
    <t>Queue</t>
  </si>
  <si>
    <t>Seize ws1.Queue</t>
  </si>
  <si>
    <t>Seize ws2.Queue</t>
  </si>
  <si>
    <t>Seize ws3.Queue</t>
  </si>
  <si>
    <t>Seize ws4.Queue</t>
  </si>
  <si>
    <t>product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</si>
  <si>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</si>
  <si>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</si>
  <si>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</si>
  <si>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</si>
  <si>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</si>
  <si>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</si>
  <si>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</si>
  <si>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</si>
  <si>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</si>
  <si>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ws1</t>
  </si>
  <si>
    <t>Instantaneous Utilization</t>
  </si>
  <si>
    <t>Resource</t>
  </si>
  <si>
    <t>Number Busy</t>
  </si>
  <si>
    <t>Number Scheduled</t>
  </si>
  <si>
    <t>ws2</t>
  </si>
  <si>
    <t>ws3</t>
  </si>
  <si>
    <t>ws4</t>
  </si>
  <si>
    <t>System.NumberOut</t>
  </si>
  <si>
    <t>Number Out</t>
  </si>
  <si>
    <t>System</t>
  </si>
  <si>
    <t>product.NumberIn</t>
  </si>
  <si>
    <t>Number In</t>
  </si>
  <si>
    <t>product.NumberOut</t>
  </si>
  <si>
    <t>ws1.NumberSeized</t>
  </si>
  <si>
    <t>Total Number Seized</t>
  </si>
  <si>
    <t>ws1.ScheduledUtilization</t>
  </si>
  <si>
    <t>Scheduled Utilization</t>
  </si>
  <si>
    <t>ws2.NumberSeized</t>
  </si>
  <si>
    <t>ws2.ScheduledUtilization</t>
  </si>
  <si>
    <t>ws3.NumberSeized</t>
  </si>
  <si>
    <t>ws3.ScheduledUtilization</t>
  </si>
  <si>
    <t>ws4.NumberSeized</t>
  </si>
  <si>
    <t>ws4.ScheduledUtilization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</si>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</sst>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9275810183" createdVersion="7" refreshedVersion="8" minRefreshableVersion="3" recordCount="18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4">
        <s v="Hold.Queue"/>
        <s v="Seize ws1.Queue"/>
        <s v="Seize ws2.Queue"/>
        <s v="Seize ws3.Queue"/>
        <s v="Seize ws4.Queue"/>
        <s v="product"/>
        <s v="ws1"/>
        <s v="ws2"/>
        <s v="ws3"/>
        <s v="ws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.114957165803888" maxValue="4.23623559423174"/>
    </cacheField>
    <cacheField name="BatchMeansHalfWidth" numFmtId="0">
      <sharedItems containsSemiMixedTypes="0" containsString="0" containsNumber="1" minValue="2.50070999577621E-2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5"/>
    </cacheField>
    <cacheField name="LastRecordedValue" numFmtId="0">
      <sharedItems containsSemiMixedTypes="0" containsString="0" containsNumber="1" containsInteg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114957165803888" maxValue="4.2362355942317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114957165803888" maxValue="4.23623559423174"/>
    </cacheField>
    <cacheField name="MaximumAverage" numFmtId="0">
      <sharedItems containsSemiMixedTypes="0" containsString="0" containsNumber="1" minValue="0.114957165803888" maxValue="4.23623559423174"/>
    </cacheField>
    <cacheField name="SummaryHalfWidth" numFmtId="0">
      <sharedItems containsSemiMixedTypes="0" containsString="0" containsNumber="1" minValue="2.50070999577621E-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927615740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9276273145" createdVersion="7" refreshedVersion="8" minRefreshableVersion="3" recordCount="11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5">
        <s v="Hold.Queue"/>
        <s v="product"/>
        <s v="Seize ws1.Queue"/>
        <s v="Seize ws2.Queue"/>
        <s v="Seize ws3.Queue"/>
        <s v="Seize ws4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4.915017092683996"/>
    </cacheField>
    <cacheField name="BatchMeansHalfWidth" numFmtId="0">
      <sharedItems containsSemiMixedTypes="0" containsString="0" containsNumber="1" minValue="0" maxValue="4.3277364796977196"/>
    </cacheField>
    <cacheField name="Minimum" numFmtId="0">
      <sharedItems containsSemiMixedTypes="0" containsString="0" containsNumber="1" minValue="0" maxValue="52.850634576485398"/>
    </cacheField>
    <cacheField name="Maximum" numFmtId="0">
      <sharedItems containsSemiMixedTypes="0" containsString="0" containsNumber="1" minValue="0" maxValue="187.82464512436999"/>
    </cacheField>
    <cacheField name="NumberObservations" numFmtId="0">
      <sharedItems containsSemiMixedTypes="0" containsString="0" containsNumber="1" containsInteger="1" minValue="495" maxValue="50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84.91501709268399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84.915017092683996"/>
    </cacheField>
    <cacheField name="MaximumAverage" numFmtId="0">
      <sharedItems containsSemiMixedTypes="0" containsString="0" containsNumber="1" minValue="0" maxValue="84.915017092683996"/>
    </cacheField>
    <cacheField name="OverallMinimum" numFmtId="0">
      <sharedItems containsSemiMixedTypes="0" containsString="0" containsNumber="1" minValue="0" maxValue="52.850634576485398"/>
    </cacheField>
    <cacheField name="OverallMaximum" numFmtId="0">
      <sharedItems containsSemiMixedTypes="0" containsString="0" containsNumber="1" minValue="0" maxValue="187.82464512436999"/>
    </cacheField>
    <cacheField name="AverageNumberObservations" numFmtId="0">
      <sharedItems containsSemiMixedTypes="0" containsString="0" containsNumber="1" containsInteger="1" minValue="495" maxValue="508"/>
    </cacheField>
    <cacheField name="SummaryHalfWidth" numFmtId="0">
      <sharedItems containsSemiMixedTypes="0" containsString="0" containsNumber="1" minValue="0" maxValue="4.3277364796977196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927650463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System.NumberOut"/>
        <s v="product.NumberIn"/>
        <s v="product.NumberOut"/>
        <s v="ws1.NumberSeized"/>
        <s v="ws1.ScheduledUtilization"/>
        <s v="ws2.NumberSeized"/>
        <s v="ws2.ScheduledUtilization"/>
        <s v="ws3.NumberSeized"/>
        <s v="ws3.ScheduledUtilization"/>
        <s v="ws4.NumberSeized"/>
        <s v="ws4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System"/>
        <s v="Entity"/>
        <s v="Resource"/>
        <m u="1"/>
        <s v="Process" u="1"/>
      </sharedItems>
    </cacheField>
    <cacheField name="RecordedValue" numFmtId="0">
      <sharedItems containsSemiMixedTypes="0" containsString="0" containsNumber="1" minValue="0.62676654170792601" maxValue="5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62676654170792601" maxValue="5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62676654170792601" maxValue="500"/>
    </cacheField>
    <cacheField name="Maximum" numFmtId="0">
      <sharedItems containsSemiMixedTypes="0" containsString="0" containsNumber="1" minValue="0.62676654170792601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927696759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2026-07-23 15:49:06"/>
    <n v="1"/>
    <x v="0"/>
    <x v="0"/>
    <x v="0"/>
    <n v="0.88055138378526798"/>
    <n v="2E+20"/>
    <n v="0"/>
    <n v="1"/>
    <n v="1"/>
    <n v="0"/>
    <s v="Unnamed ProjectHold.QueueNumber WaitingQueue"/>
    <n v="1"/>
    <n v="0.88055138378526798"/>
    <n v="0"/>
    <n v="0.95"/>
    <n v="4E+20"/>
    <n v="0.88055138378526798"/>
    <n v="0.88055138378526798"/>
    <n v="2E+20"/>
  </r>
  <r>
    <x v="0"/>
    <s v="2026-07-23 15:49:06"/>
    <n v="1"/>
    <x v="1"/>
    <x v="0"/>
    <x v="0"/>
    <n v="0.119448616214732"/>
    <n v="2E+20"/>
    <n v="0"/>
    <n v="1"/>
    <n v="0"/>
    <n v="0"/>
    <s v="Unnamed ProjectSeize ws1.QueueNumber WaitingQueue"/>
    <n v="1"/>
    <n v="0.119448616214732"/>
    <n v="0"/>
    <n v="0.95"/>
    <n v="4E+20"/>
    <n v="0.119448616214732"/>
    <n v="0.119448616214732"/>
    <n v="2E+20"/>
  </r>
  <r>
    <x v="0"/>
    <s v="2026-07-23 15:49:06"/>
    <n v="1"/>
    <x v="2"/>
    <x v="0"/>
    <x v="0"/>
    <n v="0.27678678258452699"/>
    <n v="4.3790704573099998E-2"/>
    <n v="0"/>
    <n v="1"/>
    <n v="1"/>
    <n v="0"/>
    <s v="Unnamed ProjectSeize ws2.QueueNumber WaitingQueue"/>
    <n v="1"/>
    <n v="0.27678678258452699"/>
    <n v="0"/>
    <n v="0.95"/>
    <n v="4E+20"/>
    <n v="0.27678678258452699"/>
    <n v="0.27678678258452699"/>
    <n v="4.3790704573099998E-2"/>
  </r>
  <r>
    <x v="0"/>
    <s v="2026-07-23 15:49:06"/>
    <n v="1"/>
    <x v="3"/>
    <x v="0"/>
    <x v="0"/>
    <n v="0.28439806872443002"/>
    <n v="4.2333706882335301E-2"/>
    <n v="0"/>
    <n v="1"/>
    <n v="1"/>
    <n v="0"/>
    <s v="Unnamed ProjectSeize ws3.QueueNumber WaitingQueue"/>
    <n v="1"/>
    <n v="0.28439806872443002"/>
    <n v="0"/>
    <n v="0.95"/>
    <n v="4E+20"/>
    <n v="0.28439806872443002"/>
    <n v="0.28439806872443002"/>
    <n v="4.2333706882335301E-2"/>
  </r>
  <r>
    <x v="0"/>
    <s v="2026-07-23 15:49:06"/>
    <n v="1"/>
    <x v="4"/>
    <x v="0"/>
    <x v="0"/>
    <n v="0.114957165803888"/>
    <n v="2.50070999577621E-2"/>
    <n v="0"/>
    <n v="1"/>
    <n v="1"/>
    <n v="0"/>
    <s v="Unnamed ProjectSeize ws4.QueueNumber WaitingQueue"/>
    <n v="1"/>
    <n v="0.114957165803888"/>
    <n v="0"/>
    <n v="0.95"/>
    <n v="4E+20"/>
    <n v="0.114957165803888"/>
    <n v="0.114957165803888"/>
    <n v="2.50070999577621E-2"/>
  </r>
  <r>
    <x v="0"/>
    <s v="2026-07-23 15:49:06"/>
    <n v="1"/>
    <x v="5"/>
    <x v="1"/>
    <x v="1"/>
    <n v="4.23623559423174"/>
    <n v="0.10818504041074101"/>
    <n v="0"/>
    <n v="5"/>
    <n v="5"/>
    <n v="0"/>
    <s v="Unnamed ProjectproductWIPEntity"/>
    <n v="1"/>
    <n v="4.23623559423174"/>
    <n v="0"/>
    <n v="0.95"/>
    <n v="4E+20"/>
    <n v="4.23623559423174"/>
    <n v="4.23623559423174"/>
    <n v="0.10818504041074101"/>
  </r>
  <r>
    <x v="0"/>
    <s v="2026-07-23 15:49:06"/>
    <n v="1"/>
    <x v="6"/>
    <x v="2"/>
    <x v="2"/>
    <n v="0.88055138378526798"/>
    <n v="2E+20"/>
    <n v="0"/>
    <n v="1"/>
    <n v="1"/>
    <n v="0"/>
    <s v="Unnamed Projectws1Instantaneous UtilizationResource"/>
    <n v="1"/>
    <n v="0.88055138378526798"/>
    <n v="0"/>
    <n v="0.95"/>
    <n v="4E+20"/>
    <n v="0.88055138378526798"/>
    <n v="0.88055138378526798"/>
    <n v="2E+20"/>
  </r>
  <r>
    <x v="0"/>
    <s v="2026-07-23 15:49:06"/>
    <n v="1"/>
    <x v="6"/>
    <x v="3"/>
    <x v="2"/>
    <n v="0.88055138378526798"/>
    <n v="2E+20"/>
    <n v="0"/>
    <n v="1"/>
    <n v="1"/>
    <n v="0"/>
    <s v="Unnamed Projectws1Number BusyResource"/>
    <n v="1"/>
    <n v="0.88055138378526798"/>
    <n v="0"/>
    <n v="0.95"/>
    <n v="4E+20"/>
    <n v="0.88055138378526798"/>
    <n v="0.88055138378526798"/>
    <n v="2E+20"/>
  </r>
  <r>
    <x v="0"/>
    <s v="2026-07-23 15:49:06"/>
    <n v="1"/>
    <x v="6"/>
    <x v="4"/>
    <x v="2"/>
    <n v="1"/>
    <n v="2E+20"/>
    <n v="1"/>
    <n v="1"/>
    <n v="1"/>
    <n v="0"/>
    <s v="Unnamed Projectws1Number ScheduledResource"/>
    <n v="1"/>
    <n v="1"/>
    <n v="0"/>
    <n v="0.95"/>
    <n v="4E+20"/>
    <n v="1"/>
    <n v="1"/>
    <n v="2E+20"/>
  </r>
  <r>
    <x v="0"/>
    <s v="2026-07-23 15:49:06"/>
    <n v="1"/>
    <x v="7"/>
    <x v="2"/>
    <x v="2"/>
    <n v="0.73746958642304605"/>
    <n v="4.4355146279433599E-2"/>
    <n v="0"/>
    <n v="1"/>
    <n v="1"/>
    <n v="0"/>
    <s v="Unnamed Projectws2Instantaneous UtilizationResource"/>
    <n v="1"/>
    <n v="0.73746958642304605"/>
    <n v="0"/>
    <n v="0.95"/>
    <n v="4E+20"/>
    <n v="0.73746958642304605"/>
    <n v="0.73746958642304605"/>
    <n v="4.4355146279433599E-2"/>
  </r>
  <r>
    <x v="0"/>
    <s v="2026-07-23 15:49:06"/>
    <n v="1"/>
    <x v="7"/>
    <x v="3"/>
    <x v="2"/>
    <n v="0.73746958642304605"/>
    <n v="4.4355146279433599E-2"/>
    <n v="0"/>
    <n v="1"/>
    <n v="1"/>
    <n v="0"/>
    <s v="Unnamed Projectws2Number BusyResource"/>
    <n v="1"/>
    <n v="0.73746958642304605"/>
    <n v="0"/>
    <n v="0.95"/>
    <n v="4E+20"/>
    <n v="0.73746958642304605"/>
    <n v="0.73746958642304605"/>
    <n v="4.4355146279433599E-2"/>
  </r>
  <r>
    <x v="0"/>
    <s v="2026-07-23 15:49:06"/>
    <n v="1"/>
    <x v="7"/>
    <x v="4"/>
    <x v="2"/>
    <n v="1"/>
    <n v="2E+20"/>
    <n v="1"/>
    <n v="1"/>
    <n v="1"/>
    <n v="0"/>
    <s v="Unnamed Projectws2Number ScheduledResource"/>
    <n v="1"/>
    <n v="1"/>
    <n v="0"/>
    <n v="0.95"/>
    <n v="4E+20"/>
    <n v="1"/>
    <n v="1"/>
    <n v="2E+20"/>
  </r>
  <r>
    <x v="0"/>
    <s v="2026-07-23 15:49:06"/>
    <n v="1"/>
    <x v="8"/>
    <x v="2"/>
    <x v="2"/>
    <n v="0.70662718105435396"/>
    <n v="2E+20"/>
    <n v="0"/>
    <n v="1"/>
    <n v="1"/>
    <n v="0"/>
    <s v="Unnamed Projectws3Instantaneous UtilizationResource"/>
    <n v="1"/>
    <n v="0.70662718105435396"/>
    <n v="0"/>
    <n v="0.95"/>
    <n v="4E+20"/>
    <n v="0.70662718105435396"/>
    <n v="0.70662718105435396"/>
    <n v="2E+20"/>
  </r>
  <r>
    <x v="0"/>
    <s v="2026-07-23 15:49:06"/>
    <n v="1"/>
    <x v="8"/>
    <x v="3"/>
    <x v="2"/>
    <n v="0.70662718105435396"/>
    <n v="2E+20"/>
    <n v="0"/>
    <n v="1"/>
    <n v="1"/>
    <n v="0"/>
    <s v="Unnamed Projectws3Number BusyResource"/>
    <n v="1"/>
    <n v="0.70662718105435396"/>
    <n v="0"/>
    <n v="0.95"/>
    <n v="4E+20"/>
    <n v="0.70662718105435396"/>
    <n v="0.70662718105435396"/>
    <n v="2E+20"/>
  </r>
  <r>
    <x v="0"/>
    <s v="2026-07-23 15:49:06"/>
    <n v="1"/>
    <x v="8"/>
    <x v="4"/>
    <x v="2"/>
    <n v="1"/>
    <n v="2E+20"/>
    <n v="1"/>
    <n v="1"/>
    <n v="1"/>
    <n v="0"/>
    <s v="Unnamed Projectws3Number ScheduledResource"/>
    <n v="1"/>
    <n v="1"/>
    <n v="0"/>
    <n v="0.95"/>
    <n v="4E+20"/>
    <n v="1"/>
    <n v="1"/>
    <n v="2E+20"/>
  </r>
  <r>
    <x v="0"/>
    <s v="2026-07-23 15:49:06"/>
    <n v="1"/>
    <x v="9"/>
    <x v="2"/>
    <x v="2"/>
    <n v="0.62676654170792601"/>
    <n v="4.2373390375212101E-2"/>
    <n v="0"/>
    <n v="1"/>
    <n v="0"/>
    <n v="0"/>
    <s v="Unnamed Projectws4Instantaneous UtilizationResource"/>
    <n v="1"/>
    <n v="0.62676654170792601"/>
    <n v="0"/>
    <n v="0.95"/>
    <n v="4E+20"/>
    <n v="0.62676654170792601"/>
    <n v="0.62676654170792601"/>
    <n v="4.2373390375212101E-2"/>
  </r>
  <r>
    <x v="0"/>
    <s v="2026-07-23 15:49:06"/>
    <n v="1"/>
    <x v="9"/>
    <x v="3"/>
    <x v="2"/>
    <n v="0.62676654170792601"/>
    <n v="4.2373390375212101E-2"/>
    <n v="0"/>
    <n v="1"/>
    <n v="0"/>
    <n v="0"/>
    <s v="Unnamed Projectws4Number BusyResource"/>
    <n v="1"/>
    <n v="0.62676654170792601"/>
    <n v="0"/>
    <n v="0.95"/>
    <n v="4E+20"/>
    <n v="0.62676654170792601"/>
    <n v="0.62676654170792601"/>
    <n v="4.2373390375212101E-2"/>
  </r>
  <r>
    <x v="0"/>
    <s v="2026-07-23 15:49:06"/>
    <n v="1"/>
    <x v="9"/>
    <x v="4"/>
    <x v="2"/>
    <n v="1"/>
    <n v="2E+20"/>
    <n v="1"/>
    <n v="1"/>
    <n v="1"/>
    <n v="0"/>
    <s v="Unnamed Projectws4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7-23 15:49:06"/>
    <n v="1"/>
    <x v="0"/>
    <x v="0"/>
    <x v="0"/>
    <n v="17.612251656978799"/>
    <n v="1.09811660653538"/>
    <n v="0"/>
    <n v="88.164020495979003"/>
    <n v="499"/>
    <s v="Unnamed ProjectHold.QueueWaiting TimeQueue"/>
    <n v="1"/>
    <n v="17.612251656978799"/>
    <n v="0"/>
    <n v="0.95"/>
    <n v="4E+20"/>
    <n v="17.612251656978799"/>
    <n v="17.612251656978799"/>
    <n v="0"/>
    <n v="88.164020495979003"/>
    <n v="499"/>
    <n v="1.09811660653538"/>
    <n v="1"/>
    <n v="1"/>
  </r>
  <r>
    <x v="0"/>
    <s v="2026-07-23 15:49:06"/>
    <n v="1"/>
    <x v="1"/>
    <x v="1"/>
    <x v="1"/>
    <n v="0"/>
    <n v="0"/>
    <n v="0"/>
    <n v="0"/>
    <n v="495"/>
    <s v="Unnamed ProjectproductNVA TimeEntity"/>
    <n v="1"/>
    <n v="0"/>
    <n v="0"/>
    <n v="0.95"/>
    <n v="4E+20"/>
    <n v="0"/>
    <n v="0"/>
    <n v="0"/>
    <n v="0"/>
    <n v="495"/>
    <n v="0"/>
    <n v="1"/>
    <n v="1"/>
  </r>
  <r>
    <x v="0"/>
    <s v="2026-07-23 15:49:06"/>
    <n v="1"/>
    <x v="1"/>
    <x v="2"/>
    <x v="1"/>
    <n v="45.737274304425704"/>
    <n v="0.30408277615148899"/>
    <n v="35.417335240305"/>
    <n v="60.446372373856299"/>
    <n v="495"/>
    <s v="Unnamed ProjectproductOther TimeEntity"/>
    <n v="1"/>
    <n v="45.737274304425704"/>
    <n v="0"/>
    <n v="0.95"/>
    <n v="4E+20"/>
    <n v="45.737274304425704"/>
    <n v="45.737274304425704"/>
    <n v="35.417335240305"/>
    <n v="60.446372373856299"/>
    <n v="495"/>
    <n v="0.30408277615148899"/>
    <n v="1"/>
    <n v="1"/>
  </r>
  <r>
    <x v="0"/>
    <s v="2026-07-23 15:49:06"/>
    <n v="1"/>
    <x v="1"/>
    <x v="3"/>
    <x v="1"/>
    <n v="84.915017092683996"/>
    <n v="4.3277364796977196"/>
    <n v="52.850634576485398"/>
    <n v="187.82464512436999"/>
    <n v="495"/>
    <s v="Unnamed ProjectproductTotal TimeEntity"/>
    <n v="1"/>
    <n v="84.915017092683996"/>
    <n v="0"/>
    <n v="0.95"/>
    <n v="4E+20"/>
    <n v="84.915017092683996"/>
    <n v="84.915017092683996"/>
    <n v="52.850634576485398"/>
    <n v="187.82464512436999"/>
    <n v="495"/>
    <n v="4.3277364796977196"/>
    <n v="1"/>
    <n v="1"/>
  </r>
  <r>
    <x v="0"/>
    <s v="2026-07-23 15:49:06"/>
    <n v="1"/>
    <x v="1"/>
    <x v="4"/>
    <x v="1"/>
    <n v="0"/>
    <n v="0"/>
    <n v="0"/>
    <n v="0"/>
    <n v="495"/>
    <s v="Unnamed ProjectproductTransfer TimeEntity"/>
    <n v="1"/>
    <n v="0"/>
    <n v="0"/>
    <n v="0.95"/>
    <n v="4E+20"/>
    <n v="0"/>
    <n v="0"/>
    <n v="0"/>
    <n v="0"/>
    <n v="495"/>
    <n v="0"/>
    <n v="1"/>
    <n v="1"/>
  </r>
  <r>
    <x v="0"/>
    <s v="2026-07-23 15:49:06"/>
    <n v="1"/>
    <x v="1"/>
    <x v="5"/>
    <x v="1"/>
    <n v="0"/>
    <n v="0"/>
    <n v="0"/>
    <n v="0"/>
    <n v="495"/>
    <s v="Unnamed ProjectproductVA TimeEntity"/>
    <n v="1"/>
    <n v="0"/>
    <n v="0"/>
    <n v="0.95"/>
    <n v="4E+20"/>
    <n v="0"/>
    <n v="0"/>
    <n v="0"/>
    <n v="0"/>
    <n v="495"/>
    <n v="0"/>
    <n v="1"/>
    <n v="1"/>
  </r>
  <r>
    <x v="0"/>
    <s v="2026-07-23 15:49:06"/>
    <n v="1"/>
    <x v="1"/>
    <x v="6"/>
    <x v="1"/>
    <n v="39.1777427882583"/>
    <n v="4.2633347548302796"/>
    <n v="8.2191077678841094"/>
    <n v="141.24246864885899"/>
    <n v="495"/>
    <s v="Unnamed ProjectproductWait TimeEntity"/>
    <n v="1"/>
    <n v="39.1777427882583"/>
    <n v="0"/>
    <n v="0.95"/>
    <n v="4E+20"/>
    <n v="39.1777427882583"/>
    <n v="39.1777427882583"/>
    <n v="8.2191077678841094"/>
    <n v="141.24246864885899"/>
    <n v="495"/>
    <n v="4.2633347548302796"/>
    <n v="1"/>
    <n v="1"/>
  </r>
  <r>
    <x v="0"/>
    <s v="2026-07-23 15:49:06"/>
    <n v="1"/>
    <x v="2"/>
    <x v="0"/>
    <x v="0"/>
    <n v="2.3937598439826"/>
    <n v="0.620380828681241"/>
    <n v="0"/>
    <n v="37.304605992347199"/>
    <n v="499"/>
    <s v="Unnamed ProjectSeize ws1.QueueWaiting TimeQueue"/>
    <n v="1"/>
    <n v="2.3937598439826"/>
    <n v="0"/>
    <n v="0.95"/>
    <n v="4E+20"/>
    <n v="2.3937598439826"/>
    <n v="2.3937598439826"/>
    <n v="0"/>
    <n v="37.304605992347199"/>
    <n v="499"/>
    <n v="0.620380828681241"/>
    <n v="1"/>
    <n v="1"/>
  </r>
  <r>
    <x v="0"/>
    <s v="2026-07-23 15:49:06"/>
    <n v="1"/>
    <x v="3"/>
    <x v="0"/>
    <x v="0"/>
    <n v="5.5512151770737299"/>
    <n v="1.0868530854326599"/>
    <n v="0"/>
    <n v="78.193176522816003"/>
    <n v="498"/>
    <s v="Unnamed ProjectSeize ws2.QueueWaiting TimeQueue"/>
    <n v="1"/>
    <n v="5.5512151770737299"/>
    <n v="0"/>
    <n v="0.95"/>
    <n v="4E+20"/>
    <n v="5.5512151770737299"/>
    <n v="5.5512151770737299"/>
    <n v="0"/>
    <n v="78.193176522816003"/>
    <n v="498"/>
    <n v="1.0868530854326599"/>
    <n v="1"/>
    <n v="1"/>
  </r>
  <r>
    <x v="0"/>
    <s v="2026-07-23 15:49:06"/>
    <n v="1"/>
    <x v="4"/>
    <x v="0"/>
    <x v="0"/>
    <n v="5.5799695102051299"/>
    <n v="1.13686241760439"/>
    <n v="0"/>
    <n v="77.041810798965301"/>
    <n v="508"/>
    <s v="Unnamed ProjectSeize ws3.QueueWaiting TimeQueue"/>
    <n v="1"/>
    <n v="5.5799695102051299"/>
    <n v="0"/>
    <n v="0.95"/>
    <n v="4E+20"/>
    <n v="5.5799695102051299"/>
    <n v="5.5799695102051299"/>
    <n v="0"/>
    <n v="77.041810798965301"/>
    <n v="508"/>
    <n v="1.13686241760439"/>
    <n v="1"/>
    <n v="1"/>
  </r>
  <r>
    <x v="0"/>
    <s v="2026-07-23 15:49:06"/>
    <n v="1"/>
    <x v="5"/>
    <x v="0"/>
    <x v="0"/>
    <n v="2.2885584887138801"/>
    <n v="0.54404280178990605"/>
    <n v="0"/>
    <n v="44.802292959995597"/>
    <n v="499"/>
    <s v="Unnamed ProjectSeize ws4.QueueWaiting TimeQueue"/>
    <n v="1"/>
    <n v="2.2885584887138801"/>
    <n v="0"/>
    <n v="0.95"/>
    <n v="4E+20"/>
    <n v="2.2885584887138801"/>
    <n v="2.2885584887138801"/>
    <n v="0"/>
    <n v="44.802292959995597"/>
    <n v="499"/>
    <n v="0.54404280178990605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7-23 15:49:06"/>
    <n v="1"/>
    <x v="0"/>
    <x v="0"/>
    <x v="0"/>
    <n v="495"/>
    <n v="0"/>
    <s v="Unnamed ProjectSystem.NumberOutNumber OutSystem"/>
    <n v="1"/>
    <n v="495"/>
    <n v="0"/>
    <n v="0.95"/>
    <n v="4E+20"/>
    <n v="495"/>
    <n v="495"/>
  </r>
  <r>
    <x v="0"/>
    <s v="2026-07-23 15:49:06"/>
    <n v="1"/>
    <x v="1"/>
    <x v="1"/>
    <x v="1"/>
    <n v="500"/>
    <n v="0"/>
    <s v="Unnamed Projectproduct.NumberInNumber InEntity"/>
    <n v="1"/>
    <n v="500"/>
    <n v="0"/>
    <n v="0.95"/>
    <n v="4E+20"/>
    <n v="500"/>
    <n v="500"/>
  </r>
  <r>
    <x v="0"/>
    <s v="2026-07-23 15:49:06"/>
    <n v="1"/>
    <x v="2"/>
    <x v="0"/>
    <x v="1"/>
    <n v="495"/>
    <n v="0"/>
    <s v="Unnamed Projectproduct.NumberOutNumber OutEntity"/>
    <n v="1"/>
    <n v="495"/>
    <n v="0"/>
    <n v="0.95"/>
    <n v="4E+20"/>
    <n v="495"/>
    <n v="495"/>
  </r>
  <r>
    <x v="0"/>
    <s v="2026-07-23 15:49:06"/>
    <n v="1"/>
    <x v="3"/>
    <x v="2"/>
    <x v="2"/>
    <n v="499"/>
    <n v="0"/>
    <s v="Unnamed Projectws1.NumberSeizedTotal Number SeizedResource"/>
    <n v="1"/>
    <n v="499"/>
    <n v="0"/>
    <n v="0.95"/>
    <n v="4E+20"/>
    <n v="499"/>
    <n v="499"/>
  </r>
  <r>
    <x v="0"/>
    <s v="2026-07-23 15:49:06"/>
    <n v="1"/>
    <x v="4"/>
    <x v="3"/>
    <x v="2"/>
    <n v="0.88055138378526798"/>
    <n v="0"/>
    <s v="Unnamed Projectws1.ScheduledUtilizationScheduled UtilizationResource"/>
    <n v="1"/>
    <n v="0.88055138378526798"/>
    <n v="0"/>
    <n v="0.95"/>
    <n v="4E+20"/>
    <n v="0.88055138378526798"/>
    <n v="0.88055138378526798"/>
  </r>
  <r>
    <x v="0"/>
    <s v="2026-07-23 15:49:06"/>
    <n v="1"/>
    <x v="5"/>
    <x v="2"/>
    <x v="2"/>
    <n v="498"/>
    <n v="0"/>
    <s v="Unnamed Projectws2.NumberSeizedTotal Number SeizedResource"/>
    <n v="1"/>
    <n v="498"/>
    <n v="0"/>
    <n v="0.95"/>
    <n v="4E+20"/>
    <n v="498"/>
    <n v="498"/>
  </r>
  <r>
    <x v="0"/>
    <s v="2026-07-23 15:49:06"/>
    <n v="1"/>
    <x v="6"/>
    <x v="3"/>
    <x v="2"/>
    <n v="0.73746958642304605"/>
    <n v="0"/>
    <s v="Unnamed Projectws2.ScheduledUtilizationScheduled UtilizationResource"/>
    <n v="1"/>
    <n v="0.73746958642304605"/>
    <n v="0"/>
    <n v="0.95"/>
    <n v="4E+20"/>
    <n v="0.73746958642304605"/>
    <n v="0.73746958642304605"/>
  </r>
  <r>
    <x v="0"/>
    <s v="2026-07-23 15:49:06"/>
    <n v="1"/>
    <x v="7"/>
    <x v="2"/>
    <x v="2"/>
    <n v="497"/>
    <n v="0"/>
    <s v="Unnamed Projectws3.NumberSeizedTotal Number SeizedResource"/>
    <n v="1"/>
    <n v="497"/>
    <n v="0"/>
    <n v="0.95"/>
    <n v="4E+20"/>
    <n v="497"/>
    <n v="497"/>
  </r>
  <r>
    <x v="0"/>
    <s v="2026-07-23 15:49:06"/>
    <n v="1"/>
    <x v="8"/>
    <x v="3"/>
    <x v="2"/>
    <n v="0.70662718105435396"/>
    <n v="0"/>
    <s v="Unnamed Projectws3.ScheduledUtilizationScheduled UtilizationResource"/>
    <n v="1"/>
    <n v="0.70662718105435396"/>
    <n v="0"/>
    <n v="0.95"/>
    <n v="4E+20"/>
    <n v="0.70662718105435396"/>
    <n v="0.70662718105435396"/>
  </r>
  <r>
    <x v="0"/>
    <s v="2026-07-23 15:49:06"/>
    <n v="1"/>
    <x v="9"/>
    <x v="2"/>
    <x v="2"/>
    <n v="496"/>
    <n v="0"/>
    <s v="Unnamed Projectws4.NumberSeizedTotal Number SeizedResource"/>
    <n v="1"/>
    <n v="496"/>
    <n v="0"/>
    <n v="0.95"/>
    <n v="4E+20"/>
    <n v="496"/>
    <n v="496"/>
  </r>
  <r>
    <x v="0"/>
    <s v="2026-07-23 15:49:06"/>
    <n v="1"/>
    <x v="10"/>
    <x v="3"/>
    <x v="2"/>
    <n v="0.62676654170792601"/>
    <n v="0"/>
    <s v="Unnamed Projectws4.ScheduledUtilizationScheduled UtilizationResource"/>
    <n v="1"/>
    <n v="0.62676654170792601"/>
    <n v="0"/>
    <n v="0.95"/>
    <n v="4E+20"/>
    <n v="0.62676654170792601"/>
    <n v="0.626766541707926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0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4">
        <item m="1" x="25"/>
        <item m="1" x="16"/>
        <item m="1" x="32"/>
        <item m="1" x="41"/>
        <item m="1" x="54"/>
        <item m="1" x="53"/>
        <item m="1" x="17"/>
        <item m="1" x="118"/>
        <item m="1" x="96"/>
        <item m="1" x="59"/>
        <item m="1" x="46"/>
        <item m="1" x="50"/>
        <item m="1" x="132"/>
        <item m="1" x="35"/>
        <item m="1" x="117"/>
        <item m="1" x="39"/>
        <item m="1" x="90"/>
        <item m="1" x="104"/>
        <item m="1" x="14"/>
        <item m="1" x="40"/>
        <item m="1" x="127"/>
        <item m="1" x="29"/>
        <item m="1" x="119"/>
        <item m="1" x="18"/>
        <item m="1" x="45"/>
        <item m="1" x="71"/>
        <item m="1" x="15"/>
        <item m="1" x="21"/>
        <item m="1" x="91"/>
        <item m="1" x="72"/>
        <item m="1" x="106"/>
        <item m="1" x="62"/>
        <item m="1" x="26"/>
        <item m="1" x="56"/>
        <item m="1" x="92"/>
        <item m="1" x="77"/>
        <item m="1" x="27"/>
        <item m="1" x="37"/>
        <item m="1" x="99"/>
        <item m="1" x="13"/>
        <item m="1" x="126"/>
        <item m="1" x="84"/>
        <item m="1" x="24"/>
        <item m="1" x="109"/>
        <item m="1" x="55"/>
        <item m="1" x="128"/>
        <item m="1" x="89"/>
        <item m="1" x="31"/>
        <item m="1" x="76"/>
        <item m="1" x="95"/>
        <item m="1" x="108"/>
        <item m="1" x="116"/>
        <item m="1" x="125"/>
        <item m="1" x="12"/>
        <item m="1" x="30"/>
        <item m="1" x="44"/>
        <item m="1" x="33"/>
        <item m="1" x="11"/>
        <item m="1" x="105"/>
        <item m="1" x="122"/>
        <item m="1" x="48"/>
        <item m="1" x="83"/>
        <item m="1" x="36"/>
        <item m="1" x="57"/>
        <item m="1" x="42"/>
        <item m="1" x="66"/>
        <item m="1" x="51"/>
        <item m="1" x="73"/>
        <item m="1" x="58"/>
        <item m="1" x="85"/>
        <item m="1" x="67"/>
        <item m="1" x="93"/>
        <item m="1" x="74"/>
        <item m="1" x="102"/>
        <item m="1" x="86"/>
        <item m="1" x="107"/>
        <item m="1" x="94"/>
        <item m="1" x="111"/>
        <item m="1" x="123"/>
        <item m="1" x="113"/>
        <item m="1" x="97"/>
        <item m="1" x="70"/>
        <item m="1" x="49"/>
        <item m="1" x="64"/>
        <item m="1" x="28"/>
        <item m="1" x="34"/>
        <item m="1" x="43"/>
        <item m="1" x="47"/>
        <item m="1" x="79"/>
        <item m="1" x="124"/>
        <item m="1" x="114"/>
        <item m="1" x="98"/>
        <item m="1" x="65"/>
        <item m="1" x="133"/>
        <item m="1" x="81"/>
        <item m="1" x="69"/>
        <item m="1" x="101"/>
        <item m="1" x="82"/>
        <item m="1" x="61"/>
        <item m="1" x="68"/>
        <item m="1" x="22"/>
        <item m="1" x="87"/>
        <item m="1" x="103"/>
        <item m="1" x="112"/>
        <item m="1" x="120"/>
        <item m="1" x="131"/>
        <item m="1" x="19"/>
        <item m="1" x="38"/>
        <item m="1" x="130"/>
        <item m="1" x="20"/>
        <item m="1" x="88"/>
        <item m="1" x="63"/>
        <item m="1" x="78"/>
        <item m="1" x="23"/>
        <item m="1" x="129"/>
        <item m="1" x="110"/>
        <item m="1" x="60"/>
        <item m="1" x="121"/>
        <item m="1" x="80"/>
        <item m="1" x="100"/>
        <item m="1" x="115"/>
        <item m="1" x="52"/>
        <item m="1" x="75"/>
        <item m="1"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8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4"/>
      <x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6"/>
        <item m="1" x="39"/>
        <item m="1" x="11"/>
        <item m="1" x="91"/>
        <item m="1" x="74"/>
        <item m="1" x="44"/>
        <item m="1" x="100"/>
        <item m="1" x="32"/>
        <item m="1" x="36"/>
        <item m="1" x="103"/>
        <item m="1" x="69"/>
        <item m="1" x="81"/>
        <item m="1" x="86"/>
        <item m="1" x="10"/>
        <item m="1" x="38"/>
        <item m="1" x="28"/>
        <item m="1" x="104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0"/>
        <item x="1"/>
        <item x="2"/>
        <item x="3"/>
        <item x="4"/>
        <item x="5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1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1"/>
        <item x="0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2" tableType="queryTable" totalsRowShown="0">
  <autoFilter ref="A1:Y12" xr:uid="{C3D003CA-1AFF-426C-A03D-D3AF5760DF1A}"/>
  <sortState xmlns:xlrd2="http://schemas.microsoft.com/office/spreadsheetml/2017/richdata2" ref="A2:Y12">
    <sortCondition ref="D1:D12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9" tableType="queryTable" totalsRowShown="0">
  <autoFilter ref="A1:U19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10000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0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17.612251656978799</v>
      </c>
      <c r="F3" s="5">
        <v>1</v>
      </c>
      <c r="G3" s="5">
        <v>1.09811660653538</v>
      </c>
      <c r="H3" s="5">
        <v>0</v>
      </c>
      <c r="I3" s="5">
        <v>17.612251656978799</v>
      </c>
      <c r="J3" s="5">
        <v>17.612251656978799</v>
      </c>
      <c r="K3" s="5">
        <v>0</v>
      </c>
      <c r="L3" s="5">
        <v>88.164020495979003</v>
      </c>
      <c r="M3" s="5">
        <v>499</v>
      </c>
      <c r="O3" t="s">
        <v>66</v>
      </c>
      <c r="P3" t="s">
        <v>70</v>
      </c>
      <c r="Q3" t="s">
        <v>85</v>
      </c>
      <c r="R3" t="s">
        <v>72</v>
      </c>
      <c r="S3" s="5">
        <v>0.88055138378526798</v>
      </c>
      <c r="T3" s="5">
        <v>2E+20</v>
      </c>
      <c r="U3" s="5">
        <v>0</v>
      </c>
      <c r="V3" s="5">
        <v>0.88055138378526798</v>
      </c>
      <c r="W3" s="5">
        <v>0.88055138378526798</v>
      </c>
      <c r="X3" s="5">
        <v>0</v>
      </c>
      <c r="Y3" s="5">
        <v>1</v>
      </c>
      <c r="AA3" t="s">
        <v>111</v>
      </c>
      <c r="AB3" t="s">
        <v>111</v>
      </c>
      <c r="AC3" t="s">
        <v>111</v>
      </c>
      <c r="AD3" t="s">
        <v>111</v>
      </c>
      <c r="AE3" s="5"/>
      <c r="AF3" s="5"/>
      <c r="AG3" s="5"/>
      <c r="AH3" s="5"/>
      <c r="AI3" s="5"/>
      <c r="AK3" t="s">
        <v>66</v>
      </c>
      <c r="AL3" t="s">
        <v>95</v>
      </c>
      <c r="AM3" t="s">
        <v>96</v>
      </c>
      <c r="AN3" t="s">
        <v>97</v>
      </c>
      <c r="AO3" s="5">
        <v>495</v>
      </c>
      <c r="AP3" s="5">
        <v>4E+20</v>
      </c>
      <c r="AQ3" s="5">
        <v>0</v>
      </c>
      <c r="AR3" s="5">
        <v>495</v>
      </c>
      <c r="AS3" s="5">
        <v>495</v>
      </c>
      <c r="AU3" t="s">
        <v>111</v>
      </c>
      <c r="AV3" t="s">
        <v>111</v>
      </c>
      <c r="AW3" t="s">
        <v>111</v>
      </c>
      <c r="AX3" t="s">
        <v>111</v>
      </c>
      <c r="AY3" s="4"/>
      <c r="AZ3" s="4"/>
    </row>
    <row r="4" spans="1:52" x14ac:dyDescent="0.35">
      <c r="B4" t="s">
        <v>77</v>
      </c>
      <c r="C4" t="s">
        <v>78</v>
      </c>
      <c r="D4" t="s">
        <v>79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495</v>
      </c>
      <c r="P4" t="s">
        <v>73</v>
      </c>
      <c r="Q4" t="s">
        <v>85</v>
      </c>
      <c r="R4" t="s">
        <v>72</v>
      </c>
      <c r="S4" s="5">
        <v>0.119448616214732</v>
      </c>
      <c r="T4" s="5">
        <v>2E+20</v>
      </c>
      <c r="U4" s="5">
        <v>0</v>
      </c>
      <c r="V4" s="5">
        <v>0.119448616214732</v>
      </c>
      <c r="W4" s="5">
        <v>0.119448616214732</v>
      </c>
      <c r="X4" s="5">
        <v>0</v>
      </c>
      <c r="Y4" s="5">
        <v>1</v>
      </c>
      <c r="AL4" t="s">
        <v>98</v>
      </c>
      <c r="AM4" t="s">
        <v>99</v>
      </c>
      <c r="AN4" t="s">
        <v>79</v>
      </c>
      <c r="AO4" s="5">
        <v>500</v>
      </c>
      <c r="AP4" s="5">
        <v>4E+20</v>
      </c>
      <c r="AQ4" s="5">
        <v>0</v>
      </c>
      <c r="AR4" s="5">
        <v>500</v>
      </c>
      <c r="AS4" s="5">
        <v>500</v>
      </c>
    </row>
    <row r="5" spans="1:52" x14ac:dyDescent="0.35">
      <c r="C5" t="s">
        <v>80</v>
      </c>
      <c r="D5" t="s">
        <v>79</v>
      </c>
      <c r="E5" s="5">
        <v>45.737274304425704</v>
      </c>
      <c r="F5" s="5">
        <v>1</v>
      </c>
      <c r="G5" s="5">
        <v>0.30408277615148899</v>
      </c>
      <c r="H5" s="5">
        <v>0</v>
      </c>
      <c r="I5" s="5">
        <v>45.737274304425704</v>
      </c>
      <c r="J5" s="5">
        <v>45.737274304425704</v>
      </c>
      <c r="K5" s="5">
        <v>35.417335240305</v>
      </c>
      <c r="L5" s="5">
        <v>60.446372373856299</v>
      </c>
      <c r="M5" s="5">
        <v>495</v>
      </c>
      <c r="P5" t="s">
        <v>74</v>
      </c>
      <c r="Q5" t="s">
        <v>85</v>
      </c>
      <c r="R5" t="s">
        <v>72</v>
      </c>
      <c r="S5" s="5">
        <v>0.27678678258452699</v>
      </c>
      <c r="T5" s="5">
        <v>4.3790704573099998E-2</v>
      </c>
      <c r="U5" s="5">
        <v>0</v>
      </c>
      <c r="V5" s="5">
        <v>0.27678678258452699</v>
      </c>
      <c r="W5" s="5">
        <v>0.27678678258452699</v>
      </c>
      <c r="X5" s="5">
        <v>0</v>
      </c>
      <c r="Y5" s="5">
        <v>1</v>
      </c>
      <c r="AL5" t="s">
        <v>100</v>
      </c>
      <c r="AM5" t="s">
        <v>96</v>
      </c>
      <c r="AN5" t="s">
        <v>79</v>
      </c>
      <c r="AO5" s="5">
        <v>495</v>
      </c>
      <c r="AP5" s="5">
        <v>4E+20</v>
      </c>
      <c r="AQ5" s="5">
        <v>0</v>
      </c>
      <c r="AR5" s="5">
        <v>495</v>
      </c>
      <c r="AS5" s="5">
        <v>495</v>
      </c>
    </row>
    <row r="6" spans="1:52" x14ac:dyDescent="0.35">
      <c r="C6" t="s">
        <v>81</v>
      </c>
      <c r="D6" t="s">
        <v>79</v>
      </c>
      <c r="E6" s="5">
        <v>84.915017092683996</v>
      </c>
      <c r="F6" s="5">
        <v>1</v>
      </c>
      <c r="G6" s="5">
        <v>4.3277364796977196</v>
      </c>
      <c r="H6" s="5">
        <v>0</v>
      </c>
      <c r="I6" s="5">
        <v>84.915017092683996</v>
      </c>
      <c r="J6" s="5">
        <v>84.915017092683996</v>
      </c>
      <c r="K6" s="5">
        <v>52.850634576485398</v>
      </c>
      <c r="L6" s="5">
        <v>187.82464512436999</v>
      </c>
      <c r="M6" s="5">
        <v>495</v>
      </c>
      <c r="P6" t="s">
        <v>75</v>
      </c>
      <c r="Q6" t="s">
        <v>85</v>
      </c>
      <c r="R6" t="s">
        <v>72</v>
      </c>
      <c r="S6" s="5">
        <v>0.28439806872443002</v>
      </c>
      <c r="T6" s="5">
        <v>4.2333706882335301E-2</v>
      </c>
      <c r="U6" s="5">
        <v>0</v>
      </c>
      <c r="V6" s="5">
        <v>0.28439806872443002</v>
      </c>
      <c r="W6" s="5">
        <v>0.28439806872443002</v>
      </c>
      <c r="X6" s="5">
        <v>0</v>
      </c>
      <c r="Y6" s="5">
        <v>1</v>
      </c>
      <c r="AL6" t="s">
        <v>101</v>
      </c>
      <c r="AM6" t="s">
        <v>102</v>
      </c>
      <c r="AN6" t="s">
        <v>89</v>
      </c>
      <c r="AO6" s="5">
        <v>499</v>
      </c>
      <c r="AP6" s="5">
        <v>4E+20</v>
      </c>
      <c r="AQ6" s="5">
        <v>0</v>
      </c>
      <c r="AR6" s="5">
        <v>499</v>
      </c>
      <c r="AS6" s="5">
        <v>499</v>
      </c>
    </row>
    <row r="7" spans="1:52" x14ac:dyDescent="0.35">
      <c r="C7" t="s">
        <v>82</v>
      </c>
      <c r="D7" t="s">
        <v>79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495</v>
      </c>
      <c r="P7" t="s">
        <v>76</v>
      </c>
      <c r="Q7" t="s">
        <v>85</v>
      </c>
      <c r="R7" t="s">
        <v>72</v>
      </c>
      <c r="S7" s="5">
        <v>0.114957165803888</v>
      </c>
      <c r="T7" s="5">
        <v>2.50070999577621E-2</v>
      </c>
      <c r="U7" s="5">
        <v>0</v>
      </c>
      <c r="V7" s="5">
        <v>0.114957165803888</v>
      </c>
      <c r="W7" s="5">
        <v>0.114957165803888</v>
      </c>
      <c r="X7" s="5">
        <v>0</v>
      </c>
      <c r="Y7" s="5">
        <v>1</v>
      </c>
      <c r="AL7" t="s">
        <v>103</v>
      </c>
      <c r="AM7" t="s">
        <v>104</v>
      </c>
      <c r="AN7" t="s">
        <v>89</v>
      </c>
      <c r="AO7" s="5">
        <v>0.88055138378526798</v>
      </c>
      <c r="AP7" s="5">
        <v>4E+20</v>
      </c>
      <c r="AQ7" s="5">
        <v>0</v>
      </c>
      <c r="AR7" s="5">
        <v>0.88055138378526798</v>
      </c>
      <c r="AS7" s="5">
        <v>0.88055138378526798</v>
      </c>
    </row>
    <row r="8" spans="1:52" x14ac:dyDescent="0.35">
      <c r="C8" t="s">
        <v>83</v>
      </c>
      <c r="D8" t="s">
        <v>79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495</v>
      </c>
      <c r="P8" t="s">
        <v>77</v>
      </c>
      <c r="Q8" t="s">
        <v>86</v>
      </c>
      <c r="R8" t="s">
        <v>79</v>
      </c>
      <c r="S8" s="5">
        <v>4.23623559423174</v>
      </c>
      <c r="T8" s="5">
        <v>0.10818504041074101</v>
      </c>
      <c r="U8" s="5">
        <v>0</v>
      </c>
      <c r="V8" s="5">
        <v>4.23623559423174</v>
      </c>
      <c r="W8" s="5">
        <v>4.23623559423174</v>
      </c>
      <c r="X8" s="5">
        <v>0</v>
      </c>
      <c r="Y8" s="5">
        <v>5</v>
      </c>
      <c r="AL8" t="s">
        <v>105</v>
      </c>
      <c r="AM8" t="s">
        <v>102</v>
      </c>
      <c r="AN8" t="s">
        <v>89</v>
      </c>
      <c r="AO8" s="5">
        <v>498</v>
      </c>
      <c r="AP8" s="5">
        <v>4E+20</v>
      </c>
      <c r="AQ8" s="5">
        <v>0</v>
      </c>
      <c r="AR8" s="5">
        <v>498</v>
      </c>
      <c r="AS8" s="5">
        <v>498</v>
      </c>
    </row>
    <row r="9" spans="1:52" x14ac:dyDescent="0.35">
      <c r="C9" t="s">
        <v>84</v>
      </c>
      <c r="D9" t="s">
        <v>79</v>
      </c>
      <c r="E9" s="5">
        <v>39.1777427882583</v>
      </c>
      <c r="F9" s="5">
        <v>1</v>
      </c>
      <c r="G9" s="5">
        <v>4.2633347548302796</v>
      </c>
      <c r="H9" s="5">
        <v>0</v>
      </c>
      <c r="I9" s="5">
        <v>39.1777427882583</v>
      </c>
      <c r="J9" s="5">
        <v>39.1777427882583</v>
      </c>
      <c r="K9" s="5">
        <v>8.2191077678841094</v>
      </c>
      <c r="L9" s="5">
        <v>141.24246864885899</v>
      </c>
      <c r="M9" s="5">
        <v>495</v>
      </c>
      <c r="P9" t="s">
        <v>87</v>
      </c>
      <c r="Q9" t="s">
        <v>88</v>
      </c>
      <c r="R9" t="s">
        <v>89</v>
      </c>
      <c r="S9" s="5">
        <v>0.88055138378526798</v>
      </c>
      <c r="T9" s="5">
        <v>2E+20</v>
      </c>
      <c r="U9" s="5">
        <v>0</v>
      </c>
      <c r="V9" s="5">
        <v>0.88055138378526798</v>
      </c>
      <c r="W9" s="5">
        <v>0.88055138378526798</v>
      </c>
      <c r="X9" s="5">
        <v>0</v>
      </c>
      <c r="Y9" s="5">
        <v>1</v>
      </c>
      <c r="AL9" t="s">
        <v>106</v>
      </c>
      <c r="AM9" t="s">
        <v>104</v>
      </c>
      <c r="AN9" t="s">
        <v>89</v>
      </c>
      <c r="AO9" s="5">
        <v>0.73746958642304605</v>
      </c>
      <c r="AP9" s="5">
        <v>4E+20</v>
      </c>
      <c r="AQ9" s="5">
        <v>0</v>
      </c>
      <c r="AR9" s="5">
        <v>0.73746958642304605</v>
      </c>
      <c r="AS9" s="5">
        <v>0.73746958642304605</v>
      </c>
    </row>
    <row r="10" spans="1:52" x14ac:dyDescent="0.35">
      <c r="B10" t="s">
        <v>73</v>
      </c>
      <c r="C10" t="s">
        <v>71</v>
      </c>
      <c r="D10" t="s">
        <v>72</v>
      </c>
      <c r="E10" s="5">
        <v>2.3937598439826</v>
      </c>
      <c r="F10" s="5">
        <v>1</v>
      </c>
      <c r="G10" s="5">
        <v>0.620380828681241</v>
      </c>
      <c r="H10" s="5">
        <v>0</v>
      </c>
      <c r="I10" s="5">
        <v>2.3937598439826</v>
      </c>
      <c r="J10" s="5">
        <v>2.3937598439826</v>
      </c>
      <c r="K10" s="5">
        <v>0</v>
      </c>
      <c r="L10" s="5">
        <v>37.304605992347199</v>
      </c>
      <c r="M10" s="5">
        <v>499</v>
      </c>
      <c r="Q10" t="s">
        <v>90</v>
      </c>
      <c r="R10" t="s">
        <v>89</v>
      </c>
      <c r="S10" s="5">
        <v>0.88055138378526798</v>
      </c>
      <c r="T10" s="5">
        <v>2E+20</v>
      </c>
      <c r="U10" s="5">
        <v>0</v>
      </c>
      <c r="V10" s="5">
        <v>0.88055138378526798</v>
      </c>
      <c r="W10" s="5">
        <v>0.88055138378526798</v>
      </c>
      <c r="X10" s="5">
        <v>0</v>
      </c>
      <c r="Y10" s="5">
        <v>1</v>
      </c>
      <c r="AL10" t="s">
        <v>107</v>
      </c>
      <c r="AM10" t="s">
        <v>102</v>
      </c>
      <c r="AN10" t="s">
        <v>89</v>
      </c>
      <c r="AO10" s="5">
        <v>497</v>
      </c>
      <c r="AP10" s="5">
        <v>4E+20</v>
      </c>
      <c r="AQ10" s="5">
        <v>0</v>
      </c>
      <c r="AR10" s="5">
        <v>497</v>
      </c>
      <c r="AS10" s="5">
        <v>497</v>
      </c>
    </row>
    <row r="11" spans="1:52" x14ac:dyDescent="0.35">
      <c r="B11" t="s">
        <v>74</v>
      </c>
      <c r="C11" t="s">
        <v>71</v>
      </c>
      <c r="D11" t="s">
        <v>72</v>
      </c>
      <c r="E11" s="5">
        <v>5.5512151770737299</v>
      </c>
      <c r="F11" s="5">
        <v>1</v>
      </c>
      <c r="G11" s="5">
        <v>1.0868530854326599</v>
      </c>
      <c r="H11" s="5">
        <v>0</v>
      </c>
      <c r="I11" s="5">
        <v>5.5512151770737299</v>
      </c>
      <c r="J11" s="5">
        <v>5.5512151770737299</v>
      </c>
      <c r="K11" s="5">
        <v>0</v>
      </c>
      <c r="L11" s="5">
        <v>78.193176522816003</v>
      </c>
      <c r="M11" s="5">
        <v>498</v>
      </c>
      <c r="Q11" t="s">
        <v>91</v>
      </c>
      <c r="R11" t="s">
        <v>89</v>
      </c>
      <c r="S11" s="5">
        <v>1</v>
      </c>
      <c r="T11" s="5">
        <v>2E+20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108</v>
      </c>
      <c r="AM11" t="s">
        <v>104</v>
      </c>
      <c r="AN11" t="s">
        <v>89</v>
      </c>
      <c r="AO11" s="5">
        <v>0.70662718105435396</v>
      </c>
      <c r="AP11" s="5">
        <v>4E+20</v>
      </c>
      <c r="AQ11" s="5">
        <v>0</v>
      </c>
      <c r="AR11" s="5">
        <v>0.70662718105435396</v>
      </c>
      <c r="AS11" s="5">
        <v>0.70662718105435396</v>
      </c>
    </row>
    <row r="12" spans="1:52" x14ac:dyDescent="0.35">
      <c r="B12" t="s">
        <v>75</v>
      </c>
      <c r="C12" t="s">
        <v>71</v>
      </c>
      <c r="D12" t="s">
        <v>72</v>
      </c>
      <c r="E12" s="5">
        <v>5.5799695102051299</v>
      </c>
      <c r="F12" s="5">
        <v>1</v>
      </c>
      <c r="G12" s="5">
        <v>1.13686241760439</v>
      </c>
      <c r="H12" s="5">
        <v>0</v>
      </c>
      <c r="I12" s="5">
        <v>5.5799695102051299</v>
      </c>
      <c r="J12" s="5">
        <v>5.5799695102051299</v>
      </c>
      <c r="K12" s="5">
        <v>0</v>
      </c>
      <c r="L12" s="5">
        <v>77.041810798965301</v>
      </c>
      <c r="M12" s="5">
        <v>508</v>
      </c>
      <c r="P12" t="s">
        <v>92</v>
      </c>
      <c r="Q12" t="s">
        <v>88</v>
      </c>
      <c r="R12" t="s">
        <v>89</v>
      </c>
      <c r="S12" s="5">
        <v>0.73746958642304605</v>
      </c>
      <c r="T12" s="5">
        <v>4.4355146279433599E-2</v>
      </c>
      <c r="U12" s="5">
        <v>0</v>
      </c>
      <c r="V12" s="5">
        <v>0.73746958642304605</v>
      </c>
      <c r="W12" s="5">
        <v>0.73746958642304605</v>
      </c>
      <c r="X12" s="5">
        <v>0</v>
      </c>
      <c r="Y12" s="5">
        <v>1</v>
      </c>
      <c r="AL12" t="s">
        <v>109</v>
      </c>
      <c r="AM12" t="s">
        <v>102</v>
      </c>
      <c r="AN12" t="s">
        <v>89</v>
      </c>
      <c r="AO12" s="5">
        <v>496</v>
      </c>
      <c r="AP12" s="5">
        <v>4E+20</v>
      </c>
      <c r="AQ12" s="5">
        <v>0</v>
      </c>
      <c r="AR12" s="5">
        <v>496</v>
      </c>
      <c r="AS12" s="5">
        <v>496</v>
      </c>
    </row>
    <row r="13" spans="1:52" x14ac:dyDescent="0.35">
      <c r="B13" t="s">
        <v>76</v>
      </c>
      <c r="C13" t="s">
        <v>71</v>
      </c>
      <c r="D13" t="s">
        <v>72</v>
      </c>
      <c r="E13" s="5">
        <v>2.2885584887138801</v>
      </c>
      <c r="F13" s="5">
        <v>1</v>
      </c>
      <c r="G13" s="5">
        <v>0.54404280178990605</v>
      </c>
      <c r="H13" s="5">
        <v>0</v>
      </c>
      <c r="I13" s="5">
        <v>2.2885584887138801</v>
      </c>
      <c r="J13" s="5">
        <v>2.2885584887138801</v>
      </c>
      <c r="K13" s="5">
        <v>0</v>
      </c>
      <c r="L13" s="5">
        <v>44.802292959995597</v>
      </c>
      <c r="M13" s="5">
        <v>499</v>
      </c>
      <c r="Q13" t="s">
        <v>90</v>
      </c>
      <c r="R13" t="s">
        <v>89</v>
      </c>
      <c r="S13" s="5">
        <v>0.73746958642304605</v>
      </c>
      <c r="T13" s="5">
        <v>4.4355146279433599E-2</v>
      </c>
      <c r="U13" s="5">
        <v>0</v>
      </c>
      <c r="V13" s="5">
        <v>0.73746958642304605</v>
      </c>
      <c r="W13" s="5">
        <v>0.73746958642304605</v>
      </c>
      <c r="X13" s="5">
        <v>0</v>
      </c>
      <c r="Y13" s="5">
        <v>1</v>
      </c>
      <c r="AL13" t="s">
        <v>110</v>
      </c>
      <c r="AM13" t="s">
        <v>104</v>
      </c>
      <c r="AN13" t="s">
        <v>89</v>
      </c>
      <c r="AO13" s="5">
        <v>0.62676654170792601</v>
      </c>
      <c r="AP13" s="5">
        <v>4E+20</v>
      </c>
      <c r="AQ13" s="5">
        <v>0</v>
      </c>
      <c r="AR13" s="5">
        <v>0.62676654170792601</v>
      </c>
      <c r="AS13" s="5">
        <v>0.62676654170792601</v>
      </c>
    </row>
    <row r="14" spans="1:52" x14ac:dyDescent="0.35">
      <c r="Q14" t="s">
        <v>91</v>
      </c>
      <c r="R14" t="s">
        <v>89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</row>
    <row r="15" spans="1:52" x14ac:dyDescent="0.35">
      <c r="P15" t="s">
        <v>93</v>
      </c>
      <c r="Q15" t="s">
        <v>88</v>
      </c>
      <c r="R15" t="s">
        <v>89</v>
      </c>
      <c r="S15" s="5">
        <v>0.70662718105435396</v>
      </c>
      <c r="T15" s="5">
        <v>2E+20</v>
      </c>
      <c r="U15" s="5">
        <v>0</v>
      </c>
      <c r="V15" s="5">
        <v>0.70662718105435396</v>
      </c>
      <c r="W15" s="5">
        <v>0.70662718105435396</v>
      </c>
      <c r="X15" s="5">
        <v>0</v>
      </c>
      <c r="Y15" s="5">
        <v>1</v>
      </c>
    </row>
    <row r="16" spans="1:52" x14ac:dyDescent="0.35">
      <c r="Q16" t="s">
        <v>90</v>
      </c>
      <c r="R16" t="s">
        <v>89</v>
      </c>
      <c r="S16" s="5">
        <v>0.70662718105435396</v>
      </c>
      <c r="T16" s="5">
        <v>2E+20</v>
      </c>
      <c r="U16" s="5">
        <v>0</v>
      </c>
      <c r="V16" s="5">
        <v>0.70662718105435396</v>
      </c>
      <c r="W16" s="5">
        <v>0.70662718105435396</v>
      </c>
      <c r="X16" s="5">
        <v>0</v>
      </c>
      <c r="Y16" s="5">
        <v>1</v>
      </c>
    </row>
    <row r="17" spans="16:25" x14ac:dyDescent="0.35">
      <c r="Q17" t="s">
        <v>91</v>
      </c>
      <c r="R17" t="s">
        <v>89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</row>
    <row r="18" spans="16:25" x14ac:dyDescent="0.35">
      <c r="P18" t="s">
        <v>94</v>
      </c>
      <c r="Q18" t="s">
        <v>88</v>
      </c>
      <c r="R18" t="s">
        <v>89</v>
      </c>
      <c r="S18" s="5">
        <v>0.62676654170792601</v>
      </c>
      <c r="T18" s="5">
        <v>4.2373390375212101E-2</v>
      </c>
      <c r="U18" s="5">
        <v>0</v>
      </c>
      <c r="V18" s="5">
        <v>0.62676654170792601</v>
      </c>
      <c r="W18" s="5">
        <v>0.62676654170792601</v>
      </c>
      <c r="X18" s="5">
        <v>0</v>
      </c>
      <c r="Y18" s="5">
        <v>1</v>
      </c>
    </row>
    <row r="19" spans="16:25" x14ac:dyDescent="0.35">
      <c r="Q19" t="s">
        <v>90</v>
      </c>
      <c r="R19" t="s">
        <v>89</v>
      </c>
      <c r="S19" s="5">
        <v>0.62676654170792601</v>
      </c>
      <c r="T19" s="5">
        <v>4.2373390375212101E-2</v>
      </c>
      <c r="U19" s="5">
        <v>0</v>
      </c>
      <c r="V19" s="5">
        <v>0.62676654170792601</v>
      </c>
      <c r="W19" s="5">
        <v>0.62676654170792601</v>
      </c>
      <c r="X19" s="5">
        <v>0</v>
      </c>
      <c r="Y19" s="5">
        <v>1</v>
      </c>
    </row>
    <row r="20" spans="16:25" x14ac:dyDescent="0.35">
      <c r="Q20" t="s">
        <v>91</v>
      </c>
      <c r="R20" t="s">
        <v>89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</sheetData>
  <dataConsolidate/>
  <conditionalFormatting pivot="1" sqref="G3:G13">
    <cfRule type="expression" dxfId="31" priority="14">
      <formula>G3=200000000000000000000</formula>
    </cfRule>
  </conditionalFormatting>
  <conditionalFormatting pivot="1" sqref="T3:T20">
    <cfRule type="expression" dxfId="30" priority="13">
      <formula>T3=200000000000000000000</formula>
    </cfRule>
  </conditionalFormatting>
  <conditionalFormatting pivot="1" sqref="T3:T20">
    <cfRule type="expression" dxfId="29" priority="12">
      <formula>T3=300000000000000000000</formula>
    </cfRule>
  </conditionalFormatting>
  <conditionalFormatting pivot="1" sqref="G3:G13">
    <cfRule type="expression" dxfId="28" priority="11">
      <formula>G3=300000000000000000000</formula>
    </cfRule>
  </conditionalFormatting>
  <conditionalFormatting pivot="1" sqref="F3:F13">
    <cfRule type="expression" dxfId="27" priority="10">
      <formula>F3=0</formula>
    </cfRule>
  </conditionalFormatting>
  <conditionalFormatting pivot="1" sqref="F3:F13">
    <cfRule type="expression" dxfId="26" priority="9">
      <formula>F3=1</formula>
    </cfRule>
  </conditionalFormatting>
  <conditionalFormatting pivot="1" sqref="T3:T20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3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2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4.906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6.4531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17.612251656978799</v>
      </c>
      <c r="H2">
        <v>1.09811660653538</v>
      </c>
      <c r="I2">
        <v>0</v>
      </c>
      <c r="J2">
        <v>88.164020495979003</v>
      </c>
      <c r="K2">
        <v>499</v>
      </c>
      <c r="L2" t="str">
        <f>DiscreteStatsTable[[#This Row],[ProjectName]]&amp;DiscreteStatsTable[[#This Row],[Name]]&amp;DiscreteStatsTable[[#This Row],[Type]]&amp;DiscreteStatsTable[[#This Row],[Source]]</f>
        <v>Unnamed ProjectHold.QueueWaiting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17.612251656978799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17.612251656978799</v>
      </c>
      <c r="S2" cm="1">
        <f t="array" ref="S2">MAX(IF((DiscreteStatsTable[GroupByKey]=DiscreteStatsTable[[#This Row],[GroupByKey]]),(DiscreteStatsTable[GroupByKey]=DiscreteStatsTable[[#This Row],[GroupByKey]])*DiscreteStatsTable[Average]))</f>
        <v>17.612251656978799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88.164020495979003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499</v>
      </c>
      <c r="W2">
        <f>IF((DiscreteStatsTable[[#This Row],[RepsRequested]]&gt;1),DiscreteStatsTable[[#This Row],[HalfWidth]],DiscreteStatsTable[[#This Row],[BatchMeansHalfWidth]])</f>
        <v>1.09811660653538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77</v>
      </c>
      <c r="E3" t="s">
        <v>78</v>
      </c>
      <c r="F3" t="s">
        <v>79</v>
      </c>
      <c r="G3">
        <v>0</v>
      </c>
      <c r="H3">
        <v>0</v>
      </c>
      <c r="I3">
        <v>0</v>
      </c>
      <c r="J3">
        <v>0</v>
      </c>
      <c r="K3">
        <v>495</v>
      </c>
      <c r="L3" t="str">
        <f>DiscreteStatsTable[[#This Row],[ProjectName]]&amp;DiscreteStatsTable[[#This Row],[Name]]&amp;DiscreteStatsTable[[#This Row],[Type]]&amp;DiscreteStatsTable[[#This Row],[Source]]</f>
        <v>Unnamed ProjectproductNVA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495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77</v>
      </c>
      <c r="E4" t="s">
        <v>80</v>
      </c>
      <c r="F4" t="s">
        <v>79</v>
      </c>
      <c r="G4">
        <v>45.737274304425704</v>
      </c>
      <c r="H4">
        <v>0.30408277615148899</v>
      </c>
      <c r="I4">
        <v>35.417335240305</v>
      </c>
      <c r="J4">
        <v>60.446372373856299</v>
      </c>
      <c r="K4">
        <v>495</v>
      </c>
      <c r="L4" t="str">
        <f>DiscreteStatsTable[[#This Row],[ProjectName]]&amp;DiscreteStatsTable[[#This Row],[Name]]&amp;DiscreteStatsTable[[#This Row],[Type]]&amp;DiscreteStatsTable[[#This Row],[Source]]</f>
        <v>Unnamed ProjectproductOther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45.737274304425704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45.737274304425704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45.737274304425704</v>
      </c>
      <c r="T4" cm="1">
        <f t="array" ref="T4">MIN(IF((DiscreteStatsTable[GroupByKey]=DiscreteStatsTable[[#This Row],[GroupByKey]]),(DiscreteStatsTable[GroupByKey]=DiscreteStatsTable[[#This Row],[GroupByKey]])*DiscreteStatsTable[Minimum]))</f>
        <v>35.417335240305</v>
      </c>
      <c r="U4" cm="1">
        <f t="array" ref="U4">MAX(IF((DiscreteStatsTable[GroupByKey]=DiscreteStatsTable[[#This Row],[GroupByKey]]),(DiscreteStatsTable[GroupByKey]=DiscreteStatsTable[[#This Row],[GroupByKey]])*DiscreteStatsTable[Maximum]))</f>
        <v>60.446372373856299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495</v>
      </c>
      <c r="W4">
        <f>IF((DiscreteStatsTable[[#This Row],[RepsRequested]]&gt;1),DiscreteStatsTable[[#This Row],[HalfWidth]],DiscreteStatsTable[[#This Row],[BatchMeansHalfWidth]])</f>
        <v>0.30408277615148899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77</v>
      </c>
      <c r="E5" t="s">
        <v>81</v>
      </c>
      <c r="F5" t="s">
        <v>79</v>
      </c>
      <c r="G5">
        <v>84.915017092683996</v>
      </c>
      <c r="H5">
        <v>4.3277364796977196</v>
      </c>
      <c r="I5">
        <v>52.850634576485398</v>
      </c>
      <c r="J5">
        <v>187.82464512436999</v>
      </c>
      <c r="K5">
        <v>495</v>
      </c>
      <c r="L5" t="str">
        <f>DiscreteStatsTable[[#This Row],[ProjectName]]&amp;DiscreteStatsTable[[#This Row],[Name]]&amp;DiscreteStatsTable[[#This Row],[Type]]&amp;DiscreteStatsTable[[#This Row],[Source]]</f>
        <v>Unnamed ProjectproductTotal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84.915017092683996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84.915017092683996</v>
      </c>
      <c r="S5" cm="1">
        <f t="array" ref="S5">MAX(IF((DiscreteStatsTable[GroupByKey]=DiscreteStatsTable[[#This Row],[GroupByKey]]),(DiscreteStatsTable[GroupByKey]=DiscreteStatsTable[[#This Row],[GroupByKey]])*DiscreteStatsTable[Average]))</f>
        <v>84.915017092683996</v>
      </c>
      <c r="T5" cm="1">
        <f t="array" ref="T5">MIN(IF((DiscreteStatsTable[GroupByKey]=DiscreteStatsTable[[#This Row],[GroupByKey]]),(DiscreteStatsTable[GroupByKey]=DiscreteStatsTable[[#This Row],[GroupByKey]])*DiscreteStatsTable[Minimum]))</f>
        <v>52.850634576485398</v>
      </c>
      <c r="U5" cm="1">
        <f t="array" ref="U5">MAX(IF((DiscreteStatsTable[GroupByKey]=DiscreteStatsTable[[#This Row],[GroupByKey]]),(DiscreteStatsTable[GroupByKey]=DiscreteStatsTable[[#This Row],[GroupByKey]])*DiscreteStatsTable[Maximum]))</f>
        <v>187.82464512436999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495</v>
      </c>
      <c r="W5">
        <f>IF((DiscreteStatsTable[[#This Row],[RepsRequested]]&gt;1),DiscreteStatsTable[[#This Row],[HalfWidth]],DiscreteStatsTable[[#This Row],[BatchMeansHalfWidth]])</f>
        <v>4.3277364796977196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77</v>
      </c>
      <c r="E6" t="s">
        <v>82</v>
      </c>
      <c r="F6" t="s">
        <v>79</v>
      </c>
      <c r="G6">
        <v>0</v>
      </c>
      <c r="H6">
        <v>0</v>
      </c>
      <c r="I6">
        <v>0</v>
      </c>
      <c r="J6">
        <v>0</v>
      </c>
      <c r="K6">
        <v>495</v>
      </c>
      <c r="L6" t="str">
        <f>DiscreteStatsTable[[#This Row],[ProjectName]]&amp;DiscreteStatsTable[[#This Row],[Name]]&amp;DiscreteStatsTable[[#This Row],[Type]]&amp;DiscreteStatsTable[[#This Row],[Source]]</f>
        <v>Unnamed ProjectproductTransfer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495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83</v>
      </c>
      <c r="F7" t="s">
        <v>79</v>
      </c>
      <c r="G7">
        <v>0</v>
      </c>
      <c r="H7">
        <v>0</v>
      </c>
      <c r="I7">
        <v>0</v>
      </c>
      <c r="J7">
        <v>0</v>
      </c>
      <c r="K7">
        <v>495</v>
      </c>
      <c r="L7" t="str">
        <f>DiscreteStatsTable[[#This Row],[ProjectName]]&amp;DiscreteStatsTable[[#This Row],[Name]]&amp;DiscreteStatsTable[[#This Row],[Type]]&amp;DiscreteStatsTable[[#This Row],[Source]]</f>
        <v>Unnamed ProjectproductVA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495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77</v>
      </c>
      <c r="E8" t="s">
        <v>84</v>
      </c>
      <c r="F8" t="s">
        <v>79</v>
      </c>
      <c r="G8">
        <v>39.1777427882583</v>
      </c>
      <c r="H8">
        <v>4.2633347548302796</v>
      </c>
      <c r="I8">
        <v>8.2191077678841094</v>
      </c>
      <c r="J8">
        <v>141.24246864885899</v>
      </c>
      <c r="K8">
        <v>495</v>
      </c>
      <c r="L8" t="str">
        <f>DiscreteStatsTable[[#This Row],[ProjectName]]&amp;DiscreteStatsTable[[#This Row],[Name]]&amp;DiscreteStatsTable[[#This Row],[Type]]&amp;DiscreteStatsTable[[#This Row],[Source]]</f>
        <v>Unnamed ProjectproductWait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39.1777427882583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39.1777427882583</v>
      </c>
      <c r="S8" cm="1">
        <f t="array" ref="S8">MAX(IF((DiscreteStatsTable[GroupByKey]=DiscreteStatsTable[[#This Row],[GroupByKey]]),(DiscreteStatsTable[GroupByKey]=DiscreteStatsTable[[#This Row],[GroupByKey]])*DiscreteStatsTable[Average]))</f>
        <v>39.1777427882583</v>
      </c>
      <c r="T8" cm="1">
        <f t="array" ref="T8">MIN(IF((DiscreteStatsTable[GroupByKey]=DiscreteStatsTable[[#This Row],[GroupByKey]]),(DiscreteStatsTable[GroupByKey]=DiscreteStatsTable[[#This Row],[GroupByKey]])*DiscreteStatsTable[Minimum]))</f>
        <v>8.2191077678841094</v>
      </c>
      <c r="U8" cm="1">
        <f t="array" ref="U8">MAX(IF((DiscreteStatsTable[GroupByKey]=DiscreteStatsTable[[#This Row],[GroupByKey]]),(DiscreteStatsTable[GroupByKey]=DiscreteStatsTable[[#This Row],[GroupByKey]])*DiscreteStatsTable[Maximum]))</f>
        <v>141.24246864885899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495</v>
      </c>
      <c r="W8">
        <f>IF((DiscreteStatsTable[[#This Row],[RepsRequested]]&gt;1),DiscreteStatsTable[[#This Row],[HalfWidth]],DiscreteStatsTable[[#This Row],[BatchMeansHalfWidth]])</f>
        <v>4.2633347548302796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73</v>
      </c>
      <c r="E9" t="s">
        <v>71</v>
      </c>
      <c r="F9" t="s">
        <v>72</v>
      </c>
      <c r="G9">
        <v>2.3937598439826</v>
      </c>
      <c r="H9">
        <v>0.620380828681241</v>
      </c>
      <c r="I9">
        <v>0</v>
      </c>
      <c r="J9">
        <v>37.304605992347199</v>
      </c>
      <c r="K9">
        <v>499</v>
      </c>
      <c r="L9" t="str">
        <f>DiscreteStatsTable[[#This Row],[ProjectName]]&amp;DiscreteStatsTable[[#This Row],[Name]]&amp;DiscreteStatsTable[[#This Row],[Type]]&amp;DiscreteStatsTable[[#This Row],[Source]]</f>
        <v>Unnamed ProjectSeize ws1.QueueWaiting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2.3937598439826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2.3937598439826</v>
      </c>
      <c r="S9" cm="1">
        <f t="array" ref="S9">MAX(IF((DiscreteStatsTable[GroupByKey]=DiscreteStatsTable[[#This Row],[GroupByKey]]),(DiscreteStatsTable[GroupByKey]=DiscreteStatsTable[[#This Row],[GroupByKey]])*DiscreteStatsTable[Average]))</f>
        <v>2.3937598439826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37.304605992347199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499</v>
      </c>
      <c r="W9">
        <f>IF((DiscreteStatsTable[[#This Row],[RepsRequested]]&gt;1),DiscreteStatsTable[[#This Row],[HalfWidth]],DiscreteStatsTable[[#This Row],[BatchMeansHalfWidth]])</f>
        <v>0.620380828681241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74</v>
      </c>
      <c r="E10" t="s">
        <v>71</v>
      </c>
      <c r="F10" t="s">
        <v>72</v>
      </c>
      <c r="G10">
        <v>5.5512151770737299</v>
      </c>
      <c r="H10">
        <v>1.0868530854326599</v>
      </c>
      <c r="I10">
        <v>0</v>
      </c>
      <c r="J10">
        <v>78.193176522816003</v>
      </c>
      <c r="K10">
        <v>498</v>
      </c>
      <c r="L10" t="str">
        <f>DiscreteStatsTable[[#This Row],[ProjectName]]&amp;DiscreteStatsTable[[#This Row],[Name]]&amp;DiscreteStatsTable[[#This Row],[Type]]&amp;DiscreteStatsTable[[#This Row],[Source]]</f>
        <v>Unnamed ProjectSeize ws2.QueueWaiting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5.5512151770737299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5.5512151770737299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5.5512151770737299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78.193176522816003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498</v>
      </c>
      <c r="W10">
        <f>IF((DiscreteStatsTable[[#This Row],[RepsRequested]]&gt;1),DiscreteStatsTable[[#This Row],[HalfWidth]],DiscreteStatsTable[[#This Row],[BatchMeansHalfWidth]])</f>
        <v>1.0868530854326599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75</v>
      </c>
      <c r="E11" t="s">
        <v>71</v>
      </c>
      <c r="F11" t="s">
        <v>72</v>
      </c>
      <c r="G11">
        <v>5.5799695102051299</v>
      </c>
      <c r="H11">
        <v>1.13686241760439</v>
      </c>
      <c r="I11">
        <v>0</v>
      </c>
      <c r="J11">
        <v>77.041810798965301</v>
      </c>
      <c r="K11">
        <v>508</v>
      </c>
      <c r="L11" t="str">
        <f>DiscreteStatsTable[[#This Row],[ProjectName]]&amp;DiscreteStatsTable[[#This Row],[Name]]&amp;DiscreteStatsTable[[#This Row],[Type]]&amp;DiscreteStatsTable[[#This Row],[Source]]</f>
        <v>Unnamed ProjectSeize ws3.QueueWaiting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5.5799695102051299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5.5799695102051299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5.5799695102051299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77.041810798965301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508</v>
      </c>
      <c r="W11">
        <f>IF((DiscreteStatsTable[[#This Row],[RepsRequested]]&gt;1),DiscreteStatsTable[[#This Row],[HalfWidth]],DiscreteStatsTable[[#This Row],[BatchMeansHalfWidth]])</f>
        <v>1.13686241760439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76</v>
      </c>
      <c r="E12" t="s">
        <v>71</v>
      </c>
      <c r="F12" t="s">
        <v>72</v>
      </c>
      <c r="G12">
        <v>2.2885584887138801</v>
      </c>
      <c r="H12">
        <v>0.54404280178990605</v>
      </c>
      <c r="I12">
        <v>0</v>
      </c>
      <c r="J12">
        <v>44.802292959995597</v>
      </c>
      <c r="K12">
        <v>499</v>
      </c>
      <c r="L12" t="str">
        <f>DiscreteStatsTable[[#This Row],[ProjectName]]&amp;DiscreteStatsTable[[#This Row],[Name]]&amp;DiscreteStatsTable[[#This Row],[Type]]&amp;DiscreteStatsTable[[#This Row],[Source]]</f>
        <v>Unnamed ProjectSeize ws4.QueueWaiting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2.2885584887138801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2.2885584887138801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2.2885584887138801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44.802292959995597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499</v>
      </c>
      <c r="W12">
        <f>IF((DiscreteStatsTable[[#This Row],[RepsRequested]]&gt;1),DiscreteStatsTable[[#This Row],[HalfWidth]],DiscreteStatsTable[[#This Row],[BatchMeansHalfWidth]])</f>
        <v>0.54404280178990605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</sheetData>
  <phoneticPr fontId="2" type="noConversion"/>
  <conditionalFormatting sqref="H2:H12 Q2:Q12">
    <cfRule type="expression" dxfId="20" priority="23">
      <formula>H2=200000000000000000000</formula>
    </cfRule>
  </conditionalFormatting>
  <conditionalFormatting sqref="H2:H12">
    <cfRule type="expression" dxfId="19" priority="21">
      <formula>H2=300000000000000000000</formula>
    </cfRule>
  </conditionalFormatting>
  <conditionalFormatting sqref="L2:Y12">
    <cfRule type="expression" dxfId="18" priority="19">
      <formula>MOD(ROW(),2)=0</formula>
    </cfRule>
  </conditionalFormatting>
  <conditionalFormatting sqref="Y2:Y12">
    <cfRule type="expression" dxfId="17" priority="14">
      <formula>Y2=0</formula>
    </cfRule>
    <cfRule type="expression" dxfId="16" priority="16">
      <formula>Y2=1</formula>
    </cfRule>
  </conditionalFormatting>
  <conditionalFormatting sqref="Y3:Y12">
    <cfRule type="expression" dxfId="15" priority="15">
      <formula>Y3=1</formula>
    </cfRule>
  </conditionalFormatting>
  <conditionalFormatting sqref="W2:W12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2 W2:W12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9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4.906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49.17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85</v>
      </c>
      <c r="F2" t="s">
        <v>72</v>
      </c>
      <c r="G2">
        <v>0.88055138378526798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ProjectHold.QueueNumber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0.88055138378526798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0.88055138378526798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0.88055138378526798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85</v>
      </c>
      <c r="F3" t="s">
        <v>72</v>
      </c>
      <c r="G3">
        <v>0.119448616214732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ProjectSeize ws1.QueueNumber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0.119448616214732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0.119448616214732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0.119448616214732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85</v>
      </c>
      <c r="F4" t="s">
        <v>72</v>
      </c>
      <c r="G4">
        <v>0.27678678258452699</v>
      </c>
      <c r="H4">
        <v>4.3790704573099998E-2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ProjectSeize ws2.QueueNumber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0.27678678258452699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0.27678678258452699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0.27678678258452699</v>
      </c>
      <c r="U4">
        <f>IF((ContinuousStatsTable[[#This Row],[RepsRequested]]&gt;1),ContinuousStatsTable[[#This Row],[HalfWidth]],ContinuousStatsTable[[#This Row],[BatchMeansHalfWidth]])</f>
        <v>4.3790704573099998E-2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85</v>
      </c>
      <c r="F5" t="s">
        <v>72</v>
      </c>
      <c r="G5">
        <v>0.28439806872443002</v>
      </c>
      <c r="H5">
        <v>4.2333706882335301E-2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ProjectSeize ws3.QueueNumber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0.28439806872443002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0.28439806872443002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0.28439806872443002</v>
      </c>
      <c r="U5">
        <f>IF((ContinuousStatsTable[[#This Row],[RepsRequested]]&gt;1),ContinuousStatsTable[[#This Row],[HalfWidth]],ContinuousStatsTable[[#This Row],[BatchMeansHalfWidth]])</f>
        <v>4.2333706882335301E-2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85</v>
      </c>
      <c r="F6" t="s">
        <v>72</v>
      </c>
      <c r="G6">
        <v>0.114957165803888</v>
      </c>
      <c r="H6">
        <v>2.50070999577621E-2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ProjectSeize ws4.QueueNumber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0.114957165803888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0.114957165803888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0.114957165803888</v>
      </c>
      <c r="U6">
        <f>IF((ContinuousStatsTable[[#This Row],[RepsRequested]]&gt;1),ContinuousStatsTable[[#This Row],[HalfWidth]],ContinuousStatsTable[[#This Row],[BatchMeansHalfWidth]])</f>
        <v>2.50070999577621E-2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86</v>
      </c>
      <c r="F7" t="s">
        <v>79</v>
      </c>
      <c r="G7">
        <v>4.23623559423174</v>
      </c>
      <c r="H7">
        <v>0.10818504041074101</v>
      </c>
      <c r="I7">
        <v>0</v>
      </c>
      <c r="J7">
        <v>5</v>
      </c>
      <c r="K7">
        <v>5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ProjectproductWIPEntity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4.23623559423174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4.23623559423174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4.23623559423174</v>
      </c>
      <c r="U7">
        <f>IF((ContinuousStatsTable[[#This Row],[RepsRequested]]&gt;1),ContinuousStatsTable[[#This Row],[HalfWidth]],ContinuousStatsTable[[#This Row],[BatchMeansHalfWidth]])</f>
        <v>0.10818504041074101</v>
      </c>
    </row>
    <row r="8" spans="1:21" x14ac:dyDescent="0.35">
      <c r="A8" t="s">
        <v>66</v>
      </c>
      <c r="B8" t="s">
        <v>69</v>
      </c>
      <c r="C8">
        <v>1</v>
      </c>
      <c r="D8" t="s">
        <v>87</v>
      </c>
      <c r="E8" t="s">
        <v>88</v>
      </c>
      <c r="F8" t="s">
        <v>89</v>
      </c>
      <c r="G8">
        <v>0.88055138378526798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Projectws1Instantaneous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0.88055138378526798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0.88055138378526798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0.88055138378526798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66</v>
      </c>
      <c r="B9" t="s">
        <v>69</v>
      </c>
      <c r="C9">
        <v>1</v>
      </c>
      <c r="D9" t="s">
        <v>87</v>
      </c>
      <c r="E9" t="s">
        <v>90</v>
      </c>
      <c r="F9" t="s">
        <v>89</v>
      </c>
      <c r="G9">
        <v>0.88055138378526798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Projectws1Number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0.88055138378526798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0.88055138378526798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0.88055138378526798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87</v>
      </c>
      <c r="E10" t="s">
        <v>91</v>
      </c>
      <c r="F10" t="s">
        <v>89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Projectws1Number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69</v>
      </c>
      <c r="C11">
        <v>1</v>
      </c>
      <c r="D11" t="s">
        <v>92</v>
      </c>
      <c r="E11" t="s">
        <v>88</v>
      </c>
      <c r="F11" t="s">
        <v>89</v>
      </c>
      <c r="G11">
        <v>0.73746958642304605</v>
      </c>
      <c r="H11">
        <v>4.4355146279433599E-2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Projectws2Instantaneous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0.73746958642304605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0.73746958642304605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0.73746958642304605</v>
      </c>
      <c r="U11">
        <f>IF((ContinuousStatsTable[[#This Row],[RepsRequested]]&gt;1),ContinuousStatsTable[[#This Row],[HalfWidth]],ContinuousStatsTable[[#This Row],[BatchMeansHalfWidth]])</f>
        <v>4.4355146279433599E-2</v>
      </c>
    </row>
    <row r="12" spans="1:21" x14ac:dyDescent="0.35">
      <c r="A12" t="s">
        <v>66</v>
      </c>
      <c r="B12" t="s">
        <v>69</v>
      </c>
      <c r="C12">
        <v>1</v>
      </c>
      <c r="D12" t="s">
        <v>92</v>
      </c>
      <c r="E12" t="s">
        <v>90</v>
      </c>
      <c r="F12" t="s">
        <v>89</v>
      </c>
      <c r="G12">
        <v>0.73746958642304605</v>
      </c>
      <c r="H12">
        <v>4.4355146279433599E-2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Projectws2Number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0.73746958642304605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0.73746958642304605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0.73746958642304605</v>
      </c>
      <c r="U12" s="5">
        <f>IF((ContinuousStatsTable[[#This Row],[RepsRequested]]&gt;1),ContinuousStatsTable[[#This Row],[HalfWidth]],ContinuousStatsTable[[#This Row],[BatchMeansHalfWidth]])</f>
        <v>4.4355146279433599E-2</v>
      </c>
    </row>
    <row r="13" spans="1:21" x14ac:dyDescent="0.35">
      <c r="A13" t="s">
        <v>66</v>
      </c>
      <c r="B13" t="s">
        <v>69</v>
      </c>
      <c r="C13">
        <v>1</v>
      </c>
      <c r="D13" t="s">
        <v>92</v>
      </c>
      <c r="E13" t="s">
        <v>91</v>
      </c>
      <c r="F13" t="s">
        <v>89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Projectws2Number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93</v>
      </c>
      <c r="E14" t="s">
        <v>88</v>
      </c>
      <c r="F14" t="s">
        <v>89</v>
      </c>
      <c r="G14">
        <v>0.70662718105435396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Projectws3Instantaneous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0.70662718105435396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0.70662718105435396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0.70662718105435396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93</v>
      </c>
      <c r="E15" t="s">
        <v>90</v>
      </c>
      <c r="F15" t="s">
        <v>89</v>
      </c>
      <c r="G15">
        <v>0.70662718105435396</v>
      </c>
      <c r="H15">
        <v>2E+20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Projectws3Number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0.70662718105435396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0.70662718105435396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0.70662718105435396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93</v>
      </c>
      <c r="E16" t="s">
        <v>91</v>
      </c>
      <c r="F16" t="s">
        <v>89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Projectws3Number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94</v>
      </c>
      <c r="E17" t="s">
        <v>88</v>
      </c>
      <c r="F17" t="s">
        <v>89</v>
      </c>
      <c r="G17">
        <v>0.62676654170792601</v>
      </c>
      <c r="H17">
        <v>4.2373390375212101E-2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Projectws4Instantaneous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0.62676654170792601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0.62676654170792601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0.62676654170792601</v>
      </c>
      <c r="U17" s="5">
        <f>IF((ContinuousStatsTable[[#This Row],[RepsRequested]]&gt;1),ContinuousStatsTable[[#This Row],[HalfWidth]],ContinuousStatsTable[[#This Row],[BatchMeansHalfWidth]])</f>
        <v>4.2373390375212101E-2</v>
      </c>
    </row>
    <row r="18" spans="1:21" x14ac:dyDescent="0.35">
      <c r="A18" t="s">
        <v>66</v>
      </c>
      <c r="B18" t="s">
        <v>69</v>
      </c>
      <c r="C18">
        <v>1</v>
      </c>
      <c r="D18" t="s">
        <v>94</v>
      </c>
      <c r="E18" t="s">
        <v>90</v>
      </c>
      <c r="F18" t="s">
        <v>89</v>
      </c>
      <c r="G18">
        <v>0.62676654170792601</v>
      </c>
      <c r="H18">
        <v>4.2373390375212101E-2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Projectws4Number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0.62676654170792601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0.62676654170792601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0.62676654170792601</v>
      </c>
      <c r="U18" s="5">
        <f>IF((ContinuousStatsTable[[#This Row],[RepsRequested]]&gt;1),ContinuousStatsTable[[#This Row],[HalfWidth]],ContinuousStatsTable[[#This Row],[BatchMeansHalfWidth]])</f>
        <v>4.2373390375212101E-2</v>
      </c>
    </row>
    <row r="19" spans="1:21" x14ac:dyDescent="0.35">
      <c r="A19" t="s">
        <v>66</v>
      </c>
      <c r="B19" t="s">
        <v>69</v>
      </c>
      <c r="C19">
        <v>1</v>
      </c>
      <c r="D19" t="s">
        <v>94</v>
      </c>
      <c r="E19" t="s">
        <v>91</v>
      </c>
      <c r="F19" t="s">
        <v>89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Projectws4Number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9">
    <cfRule type="expression" dxfId="11" priority="9">
      <formula>H2=200000000000000000000</formula>
    </cfRule>
  </conditionalFormatting>
  <conditionalFormatting sqref="H2:H19">
    <cfRule type="expression" dxfId="10" priority="7">
      <formula>H2=300000000000000000000</formula>
    </cfRule>
  </conditionalFormatting>
  <conditionalFormatting sqref="M2:U19">
    <cfRule type="expression" dxfId="9" priority="5">
      <formula>MOD(ROW(),2)=0</formula>
    </cfRule>
  </conditionalFormatting>
  <conditionalFormatting sqref="U2:U19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9 U2:U19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8164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2.089843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95</v>
      </c>
      <c r="E2" t="s">
        <v>96</v>
      </c>
      <c r="F2" t="s">
        <v>97</v>
      </c>
      <c r="G2">
        <v>495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495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495</v>
      </c>
      <c r="P2" cm="1">
        <f t="array" ref="P2">MAX(IF((OutputTable[GroupByKey]=OutputTable[[#This Row],[GroupByKey]]),(OutputTable[GroupByKey]=OutputTable[[#This Row],[GroupByKey]])*OutputTable[RecordedValue]))</f>
        <v>495</v>
      </c>
    </row>
    <row r="3" spans="1:16" x14ac:dyDescent="0.35">
      <c r="A3" t="s">
        <v>66</v>
      </c>
      <c r="B3" t="s">
        <v>69</v>
      </c>
      <c r="C3">
        <v>1</v>
      </c>
      <c r="D3" t="s">
        <v>98</v>
      </c>
      <c r="E3" t="s">
        <v>99</v>
      </c>
      <c r="F3" t="s">
        <v>79</v>
      </c>
      <c r="G3">
        <v>500</v>
      </c>
      <c r="H3">
        <v>0</v>
      </c>
      <c r="I3" t="str">
        <f>OutputTable[[#This Row],[ProjectName]]&amp;OutputTable[[#This Row],[Name]]&amp;OutputTable[[#This Row],[Type]]&amp;OutputTable[[#This Row],[Source]]</f>
        <v>Unnamed Projectproduct.NumberInNumber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500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500</v>
      </c>
      <c r="P3" cm="1">
        <f t="array" ref="P3">MAX(IF((OutputTable[GroupByKey]=OutputTable[[#This Row],[GroupByKey]]),(OutputTable[GroupByKey]=OutputTable[[#This Row],[GroupByKey]])*OutputTable[RecordedValue]))</f>
        <v>500</v>
      </c>
    </row>
    <row r="4" spans="1:16" x14ac:dyDescent="0.35">
      <c r="A4" t="s">
        <v>66</v>
      </c>
      <c r="B4" t="s">
        <v>69</v>
      </c>
      <c r="C4">
        <v>1</v>
      </c>
      <c r="D4" t="s">
        <v>100</v>
      </c>
      <c r="E4" t="s">
        <v>96</v>
      </c>
      <c r="F4" t="s">
        <v>79</v>
      </c>
      <c r="G4">
        <v>495</v>
      </c>
      <c r="H4">
        <v>0</v>
      </c>
      <c r="I4" t="str">
        <f>OutputTable[[#This Row],[ProjectName]]&amp;OutputTable[[#This Row],[Name]]&amp;OutputTable[[#This Row],[Type]]&amp;OutputTable[[#This Row],[Source]]</f>
        <v>Unnamed Projectproduct.NumberOutNumber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495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495</v>
      </c>
      <c r="P4" cm="1">
        <f t="array" ref="P4">MAX(IF((OutputTable[GroupByKey]=OutputTable[[#This Row],[GroupByKey]]),(OutputTable[GroupByKey]=OutputTable[[#This Row],[GroupByKey]])*OutputTable[RecordedValue]))</f>
        <v>495</v>
      </c>
    </row>
    <row r="5" spans="1:16" x14ac:dyDescent="0.35">
      <c r="A5" t="s">
        <v>66</v>
      </c>
      <c r="B5" t="s">
        <v>69</v>
      </c>
      <c r="C5">
        <v>1</v>
      </c>
      <c r="D5" t="s">
        <v>101</v>
      </c>
      <c r="E5" t="s">
        <v>102</v>
      </c>
      <c r="F5" t="s">
        <v>89</v>
      </c>
      <c r="G5">
        <v>499</v>
      </c>
      <c r="H5">
        <v>0</v>
      </c>
      <c r="I5" t="str">
        <f>OutputTable[[#This Row],[ProjectName]]&amp;OutputTable[[#This Row],[Name]]&amp;OutputTable[[#This Row],[Type]]&amp;OutputTable[[#This Row],[Source]]</f>
        <v>Unnamed Projectws1.NumberSeizedTotal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499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499</v>
      </c>
      <c r="P5" cm="1">
        <f t="array" ref="P5">MAX(IF((OutputTable[GroupByKey]=OutputTable[[#This Row],[GroupByKey]]),(OutputTable[GroupByKey]=OutputTable[[#This Row],[GroupByKey]])*OutputTable[RecordedValue]))</f>
        <v>499</v>
      </c>
    </row>
    <row r="6" spans="1:16" x14ac:dyDescent="0.35">
      <c r="A6" t="s">
        <v>66</v>
      </c>
      <c r="B6" t="s">
        <v>69</v>
      </c>
      <c r="C6">
        <v>1</v>
      </c>
      <c r="D6" t="s">
        <v>103</v>
      </c>
      <c r="E6" t="s">
        <v>104</v>
      </c>
      <c r="F6" t="s">
        <v>89</v>
      </c>
      <c r="G6">
        <v>0.88055138378526798</v>
      </c>
      <c r="H6">
        <v>0</v>
      </c>
      <c r="I6" t="str">
        <f>OutputTable[[#This Row],[ProjectName]]&amp;OutputTable[[#This Row],[Name]]&amp;OutputTable[[#This Row],[Type]]&amp;OutputTable[[#This Row],[Source]]</f>
        <v>Unnamed Projectws1.ScheduledUtilizationScheduled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0.88055138378526798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0.88055138378526798</v>
      </c>
      <c r="P6" cm="1">
        <f t="array" ref="P6">MAX(IF((OutputTable[GroupByKey]=OutputTable[[#This Row],[GroupByKey]]),(OutputTable[GroupByKey]=OutputTable[[#This Row],[GroupByKey]])*OutputTable[RecordedValue]))</f>
        <v>0.88055138378526798</v>
      </c>
    </row>
    <row r="7" spans="1:16" x14ac:dyDescent="0.35">
      <c r="A7" t="s">
        <v>66</v>
      </c>
      <c r="B7" t="s">
        <v>69</v>
      </c>
      <c r="C7">
        <v>1</v>
      </c>
      <c r="D7" t="s">
        <v>105</v>
      </c>
      <c r="E7" t="s">
        <v>102</v>
      </c>
      <c r="F7" t="s">
        <v>89</v>
      </c>
      <c r="G7">
        <v>498</v>
      </c>
      <c r="H7">
        <v>0</v>
      </c>
      <c r="I7" t="str">
        <f>OutputTable[[#This Row],[ProjectName]]&amp;OutputTable[[#This Row],[Name]]&amp;OutputTable[[#This Row],[Type]]&amp;OutputTable[[#This Row],[Source]]</f>
        <v>Unnamed Projectws2.NumberSeizedTotal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498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498</v>
      </c>
      <c r="P7" cm="1">
        <f t="array" ref="P7">MAX(IF((OutputTable[GroupByKey]=OutputTable[[#This Row],[GroupByKey]]),(OutputTable[GroupByKey]=OutputTable[[#This Row],[GroupByKey]])*OutputTable[RecordedValue]))</f>
        <v>498</v>
      </c>
    </row>
    <row r="8" spans="1:16" x14ac:dyDescent="0.35">
      <c r="A8" t="s">
        <v>66</v>
      </c>
      <c r="B8" t="s">
        <v>69</v>
      </c>
      <c r="C8">
        <v>1</v>
      </c>
      <c r="D8" t="s">
        <v>106</v>
      </c>
      <c r="E8" t="s">
        <v>104</v>
      </c>
      <c r="F8" t="s">
        <v>89</v>
      </c>
      <c r="G8">
        <v>0.73746958642304605</v>
      </c>
      <c r="H8">
        <v>0</v>
      </c>
      <c r="I8" t="str">
        <f>OutputTable[[#This Row],[ProjectName]]&amp;OutputTable[[#This Row],[Name]]&amp;OutputTable[[#This Row],[Type]]&amp;OutputTable[[#This Row],[Source]]</f>
        <v>Unnamed Projectws2.ScheduledUtilizationScheduled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0.73746958642304605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0.73746958642304605</v>
      </c>
      <c r="P8" cm="1">
        <f t="array" ref="P8">MAX(IF((OutputTable[GroupByKey]=OutputTable[[#This Row],[GroupByKey]]),(OutputTable[GroupByKey]=OutputTable[[#This Row],[GroupByKey]])*OutputTable[RecordedValue]))</f>
        <v>0.73746958642304605</v>
      </c>
    </row>
    <row r="9" spans="1:16" x14ac:dyDescent="0.35">
      <c r="A9" t="s">
        <v>66</v>
      </c>
      <c r="B9" t="s">
        <v>69</v>
      </c>
      <c r="C9">
        <v>1</v>
      </c>
      <c r="D9" t="s">
        <v>107</v>
      </c>
      <c r="E9" t="s">
        <v>102</v>
      </c>
      <c r="F9" t="s">
        <v>89</v>
      </c>
      <c r="G9">
        <v>497</v>
      </c>
      <c r="H9">
        <v>0</v>
      </c>
      <c r="I9" t="str">
        <f>OutputTable[[#This Row],[ProjectName]]&amp;OutputTable[[#This Row],[Name]]&amp;OutputTable[[#This Row],[Type]]&amp;OutputTable[[#This Row],[Source]]</f>
        <v>Unnamed Projectws3.NumberSeizedTotal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497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497</v>
      </c>
      <c r="P9" cm="1">
        <f t="array" ref="P9">MAX(IF((OutputTable[GroupByKey]=OutputTable[[#This Row],[GroupByKey]]),(OutputTable[GroupByKey]=OutputTable[[#This Row],[GroupByKey]])*OutputTable[RecordedValue]))</f>
        <v>497</v>
      </c>
    </row>
    <row r="10" spans="1:16" x14ac:dyDescent="0.35">
      <c r="A10" t="s">
        <v>66</v>
      </c>
      <c r="B10" t="s">
        <v>69</v>
      </c>
      <c r="C10">
        <v>1</v>
      </c>
      <c r="D10" t="s">
        <v>108</v>
      </c>
      <c r="E10" t="s">
        <v>104</v>
      </c>
      <c r="F10" t="s">
        <v>89</v>
      </c>
      <c r="G10">
        <v>0.70662718105435396</v>
      </c>
      <c r="H10">
        <v>0</v>
      </c>
      <c r="I10" t="str">
        <f>OutputTable[[#This Row],[ProjectName]]&amp;OutputTable[[#This Row],[Name]]&amp;OutputTable[[#This Row],[Type]]&amp;OutputTable[[#This Row],[Source]]</f>
        <v>Unnamed Projectws3.ScheduledUtilizationScheduled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0.70662718105435396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0.70662718105435396</v>
      </c>
      <c r="P10" cm="1">
        <f t="array" ref="P10">MAX(IF((OutputTable[GroupByKey]=OutputTable[[#This Row],[GroupByKey]]),(OutputTable[GroupByKey]=OutputTable[[#This Row],[GroupByKey]])*OutputTable[RecordedValue]))</f>
        <v>0.70662718105435396</v>
      </c>
    </row>
    <row r="11" spans="1:16" x14ac:dyDescent="0.35">
      <c r="A11" t="s">
        <v>66</v>
      </c>
      <c r="B11" t="s">
        <v>69</v>
      </c>
      <c r="C11">
        <v>1</v>
      </c>
      <c r="D11" t="s">
        <v>109</v>
      </c>
      <c r="E11" t="s">
        <v>102</v>
      </c>
      <c r="F11" t="s">
        <v>89</v>
      </c>
      <c r="G11">
        <v>496</v>
      </c>
      <c r="H11">
        <v>0</v>
      </c>
      <c r="I11" t="str">
        <f>OutputTable[[#This Row],[ProjectName]]&amp;OutputTable[[#This Row],[Name]]&amp;OutputTable[[#This Row],[Type]]&amp;OutputTable[[#This Row],[Source]]</f>
        <v>Unnamed Projectws4.NumberSeizedTotal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496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496</v>
      </c>
      <c r="P11" cm="1">
        <f t="array" ref="P11">MAX(IF((OutputTable[GroupByKey]=OutputTable[[#This Row],[GroupByKey]]),(OutputTable[GroupByKey]=OutputTable[[#This Row],[GroupByKey]])*OutputTable[RecordedValue]))</f>
        <v>496</v>
      </c>
    </row>
    <row r="12" spans="1:16" x14ac:dyDescent="0.35">
      <c r="A12" t="s">
        <v>66</v>
      </c>
      <c r="B12" t="s">
        <v>69</v>
      </c>
      <c r="C12">
        <v>1</v>
      </c>
      <c r="D12" t="s">
        <v>110</v>
      </c>
      <c r="E12" t="s">
        <v>104</v>
      </c>
      <c r="F12" t="s">
        <v>89</v>
      </c>
      <c r="G12">
        <v>0.62676654170792601</v>
      </c>
      <c r="H12">
        <v>0</v>
      </c>
      <c r="I12" t="str">
        <f>OutputTable[[#This Row],[ProjectName]]&amp;OutputTable[[#This Row],[Name]]&amp;OutputTable[[#This Row],[Type]]&amp;OutputTable[[#This Row],[Source]]</f>
        <v>Unnamed Projectws4.ScheduledUtilizationScheduled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0.62676654170792601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0.62676654170792601</v>
      </c>
      <c r="P12" cm="1">
        <f t="array" ref="P12">MAX(IF((OutputTable[GroupByKey]=OutputTable[[#This Row],[GroupByKey]]),(OutputTable[GroupByKey]=OutputTable[[#This Row],[GroupByKey]])*OutputTable[RecordedValue]))</f>
        <v>0.62676654170792601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2026-07-23T13:49:47Z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