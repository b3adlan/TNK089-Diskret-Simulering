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cuments\TNK089 LABS ARENA\"/>
    </mc:Choice>
  </mc:AlternateContent>
  <xr:revisionPtr revIDLastSave="0" documentId="8_{F56D3D8D-E6E2-46C0-AC13-0477554A62FE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16" r:id="rId8"/>
    <pivotCache cacheId="123" r:id="rId9"/>
    <pivotCache cacheId="130" r:id="rId10"/>
    <pivotCache cacheId="137" r:id="rId11"/>
    <pivotCache cacheId="14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L9" i="20" s="1" a="1"/>
  <c r="L9" i="20" s="1"/>
  <c r="I19" i="20"/>
  <c r="I20" i="20"/>
  <c r="I21" i="20"/>
  <c r="O21" i="20" s="1" a="1"/>
  <c r="O21" i="20" s="1"/>
  <c r="I22" i="20"/>
  <c r="I23" i="20"/>
  <c r="I24" i="20"/>
  <c r="I25" i="20"/>
  <c r="I26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 s="1"/>
  <c r="J10" i="20" a="1"/>
  <c r="J10" i="20" s="1"/>
  <c r="J11" i="20" a="1"/>
  <c r="J11" i="20"/>
  <c r="J12" i="20" a="1"/>
  <c r="J12" i="20" s="1"/>
  <c r="J13" i="20" a="1"/>
  <c r="J13" i="20"/>
  <c r="J14" i="20" a="1"/>
  <c r="J14" i="20"/>
  <c r="J15" i="20" a="1"/>
  <c r="J15" i="20"/>
  <c r="J16" i="20" a="1"/>
  <c r="J16" i="20"/>
  <c r="J17" i="20" a="1"/>
  <c r="J17" i="20"/>
  <c r="J18" i="20" a="1"/>
  <c r="J18" i="20"/>
  <c r="J19" i="20" a="1"/>
  <c r="J19" i="20" s="1"/>
  <c r="J20" i="20" a="1"/>
  <c r="J20" i="20" s="1"/>
  <c r="J21" i="20" a="1"/>
  <c r="J21" i="20"/>
  <c r="J22" i="20" a="1"/>
  <c r="J22" i="20"/>
  <c r="J23" i="20" a="1"/>
  <c r="J23" i="20"/>
  <c r="J24" i="20" a="1"/>
  <c r="J24" i="20"/>
  <c r="J25" i="20" a="1"/>
  <c r="J25" i="20"/>
  <c r="J26" i="20" a="1"/>
  <c r="J26" i="20"/>
  <c r="M2" i="20" a="1"/>
  <c r="M2" i="20"/>
  <c r="M3" i="20" a="1"/>
  <c r="M3" i="20" s="1"/>
  <c r="M4" i="20" a="1"/>
  <c r="M4" i="20" s="1"/>
  <c r="M5" i="20" a="1"/>
  <c r="M5" i="20" s="1"/>
  <c r="M6" i="20" a="1"/>
  <c r="M6" i="20"/>
  <c r="M7" i="20" a="1"/>
  <c r="M7" i="20"/>
  <c r="M8" i="20" a="1"/>
  <c r="M8" i="20"/>
  <c r="M9" i="20" a="1"/>
  <c r="M9" i="20"/>
  <c r="M10" i="20" a="1"/>
  <c r="M10" i="20"/>
  <c r="M11" i="20" a="1"/>
  <c r="M11" i="20"/>
  <c r="M12" i="20" a="1"/>
  <c r="M12" i="20"/>
  <c r="M13" i="20" a="1"/>
  <c r="M13" i="20"/>
  <c r="M14" i="20" a="1"/>
  <c r="M14" i="20" s="1"/>
  <c r="M15" i="20" a="1"/>
  <c r="M15" i="20" s="1"/>
  <c r="M16" i="20" a="1"/>
  <c r="M16" i="20"/>
  <c r="M17" i="20" a="1"/>
  <c r="M17" i="20"/>
  <c r="M18" i="20" a="1"/>
  <c r="M18" i="20"/>
  <c r="M19" i="20" a="1"/>
  <c r="M19" i="20"/>
  <c r="M20" i="20" a="1"/>
  <c r="M20" i="20"/>
  <c r="M21" i="20" a="1"/>
  <c r="M21" i="20"/>
  <c r="M22" i="20" a="1"/>
  <c r="M22" i="20"/>
  <c r="M23" i="20" a="1"/>
  <c r="M23" i="20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O4" i="18" s="1" a="1"/>
  <c r="O4" i="18" s="1"/>
  <c r="M9" i="18"/>
  <c r="M10" i="18"/>
  <c r="O24" i="18" s="1" a="1"/>
  <c r="O24" i="18" s="1"/>
  <c r="M11" i="18"/>
  <c r="M12" i="18"/>
  <c r="M13" i="18"/>
  <c r="M14" i="18"/>
  <c r="O14" i="18" s="1" a="1"/>
  <c r="O14" i="18" s="1"/>
  <c r="M15" i="18"/>
  <c r="M16" i="18"/>
  <c r="M17" i="18"/>
  <c r="M18" i="18"/>
  <c r="M19" i="18"/>
  <c r="P19" i="18" s="1" a="1"/>
  <c r="P19" i="18" s="1"/>
  <c r="M20" i="18"/>
  <c r="M21" i="18"/>
  <c r="P21" i="18" s="1" a="1"/>
  <c r="P21" i="18" s="1"/>
  <c r="M22" i="18"/>
  <c r="M23" i="18"/>
  <c r="M24" i="18"/>
  <c r="M25" i="18"/>
  <c r="M26" i="18"/>
  <c r="N2" i="18" a="1"/>
  <c r="N2" i="18" s="1"/>
  <c r="N3" i="18" a="1"/>
  <c r="N3" i="18" s="1"/>
  <c r="N4" i="18" a="1"/>
  <c r="N4" i="18"/>
  <c r="N5" i="18" a="1"/>
  <c r="N5" i="18" s="1"/>
  <c r="N6" i="18" a="1"/>
  <c r="N6" i="18"/>
  <c r="N7" i="18" a="1"/>
  <c r="N7" i="18"/>
  <c r="N8" i="18" a="1"/>
  <c r="N8" i="18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/>
  <c r="N15" i="18" a="1"/>
  <c r="N15" i="18"/>
  <c r="N16" i="18" a="1"/>
  <c r="N16" i="18"/>
  <c r="N17" i="18" a="1"/>
  <c r="N17" i="18" s="1"/>
  <c r="N18" i="18" a="1"/>
  <c r="N18" i="18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Q2" i="18" a="1"/>
  <c r="Q2" i="18"/>
  <c r="Q3" i="18" a="1"/>
  <c r="Q3" i="18"/>
  <c r="Q4" i="18" a="1"/>
  <c r="Q4" i="18" s="1"/>
  <c r="Q5" i="18" a="1"/>
  <c r="Q5" i="18" s="1"/>
  <c r="Q6" i="18" a="1"/>
  <c r="Q6" i="18"/>
  <c r="Q7" i="18" a="1"/>
  <c r="Q7" i="18" s="1"/>
  <c r="Q8" i="18" a="1"/>
  <c r="Q8" i="18" s="1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 s="1"/>
  <c r="Q15" i="18" a="1"/>
  <c r="Q15" i="18" s="1"/>
  <c r="Q16" i="18" a="1"/>
  <c r="Q16" i="18"/>
  <c r="Q17" i="18" a="1"/>
  <c r="Q17" i="18" s="1"/>
  <c r="Q18" i="18" a="1"/>
  <c r="Q18" i="18" s="1"/>
  <c r="Q19" i="18" a="1"/>
  <c r="Q19" i="18"/>
  <c r="Q20" i="18" a="1"/>
  <c r="Q20" i="18"/>
  <c r="Q21" i="18" a="1"/>
  <c r="Q21" i="18"/>
  <c r="Q22" i="18" a="1"/>
  <c r="Q22" i="18"/>
  <c r="Q23" i="18" a="1"/>
  <c r="Q23" i="18"/>
  <c r="Q24" i="18" a="1"/>
  <c r="Q24" i="18" s="1"/>
  <c r="Q25" i="18" a="1"/>
  <c r="Q25" i="18" s="1"/>
  <c r="Q26" i="18" a="1"/>
  <c r="Q26" i="18"/>
  <c r="L2" i="17"/>
  <c r="L7" i="17"/>
  <c r="L8" i="17"/>
  <c r="L9" i="17"/>
  <c r="L10" i="17"/>
  <c r="L11" i="17"/>
  <c r="L12" i="17"/>
  <c r="L3" i="17"/>
  <c r="L13" i="17"/>
  <c r="L14" i="17"/>
  <c r="L15" i="17"/>
  <c r="L16" i="17"/>
  <c r="L17" i="17"/>
  <c r="L18" i="17"/>
  <c r="L4" i="17"/>
  <c r="L19" i="17"/>
  <c r="L20" i="17"/>
  <c r="L21" i="17"/>
  <c r="L22" i="17"/>
  <c r="L23" i="17"/>
  <c r="L24" i="17"/>
  <c r="L5" i="17"/>
  <c r="L25" i="17"/>
  <c r="L26" i="17"/>
  <c r="L27" i="17"/>
  <c r="L28" i="17"/>
  <c r="L29" i="17"/>
  <c r="L30" i="17"/>
  <c r="L6" i="17"/>
  <c r="L31" i="17"/>
  <c r="L32" i="17"/>
  <c r="L33" i="17"/>
  <c r="L34" i="17"/>
  <c r="L35" i="17"/>
  <c r="L36" i="17"/>
  <c r="M2" i="17" a="1"/>
  <c r="M2" i="17"/>
  <c r="M7" i="17" a="1"/>
  <c r="M7" i="17"/>
  <c r="M8" i="17" a="1"/>
  <c r="M8" i="17" s="1"/>
  <c r="M9" i="17" a="1"/>
  <c r="M9" i="17" s="1"/>
  <c r="M10" i="17" a="1"/>
  <c r="M10" i="17" s="1"/>
  <c r="M11" i="17" a="1"/>
  <c r="M11" i="17" s="1"/>
  <c r="M12" i="17" a="1"/>
  <c r="M12" i="17"/>
  <c r="M3" i="17" a="1"/>
  <c r="M3" i="17" s="1"/>
  <c r="M13" i="17" a="1"/>
  <c r="M13" i="17"/>
  <c r="M14" i="17" a="1"/>
  <c r="M14" i="17" s="1"/>
  <c r="M15" i="17" a="1"/>
  <c r="M15" i="17"/>
  <c r="M16" i="17" a="1"/>
  <c r="M16" i="17"/>
  <c r="M17" i="17" a="1"/>
  <c r="M17" i="17" s="1"/>
  <c r="M18" i="17" a="1"/>
  <c r="M18" i="17" s="1"/>
  <c r="M4" i="17" a="1"/>
  <c r="M4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/>
  <c r="M5" i="17" a="1"/>
  <c r="M5" i="17"/>
  <c r="M25" i="17" a="1"/>
  <c r="M25" i="17" s="1"/>
  <c r="M26" i="17" a="1"/>
  <c r="M26" i="17" s="1"/>
  <c r="M27" i="17" a="1"/>
  <c r="M27" i="17"/>
  <c r="M28" i="17" a="1"/>
  <c r="M28" i="17" s="1"/>
  <c r="M29" i="17" a="1"/>
  <c r="M29" i="17" s="1"/>
  <c r="M30" i="17" a="1"/>
  <c r="M30" i="17"/>
  <c r="M6" i="17" a="1"/>
  <c r="M6" i="17"/>
  <c r="M31" i="17" a="1"/>
  <c r="M31" i="17" s="1"/>
  <c r="M32" i="17" a="1"/>
  <c r="M32" i="17" s="1"/>
  <c r="M33" i="17" a="1"/>
  <c r="M33" i="17"/>
  <c r="M34" i="17" a="1"/>
  <c r="M34" i="17" s="1"/>
  <c r="M35" i="17" a="1"/>
  <c r="M35" i="17" s="1"/>
  <c r="M36" i="17" a="1"/>
  <c r="M36" i="17" s="1"/>
  <c r="P2" i="17" a="1"/>
  <c r="P2" i="17"/>
  <c r="P7" i="17" a="1"/>
  <c r="P7" i="17" s="1"/>
  <c r="P8" i="17" a="1"/>
  <c r="P8" i="17" s="1"/>
  <c r="P9" i="17" a="1"/>
  <c r="P9" i="17" s="1"/>
  <c r="P10" i="17" a="1"/>
  <c r="P10" i="17"/>
  <c r="P11" i="17" a="1"/>
  <c r="P11" i="17" s="1"/>
  <c r="P12" i="17" a="1"/>
  <c r="P12" i="17" s="1"/>
  <c r="P3" i="17" a="1"/>
  <c r="P3" i="17" s="1"/>
  <c r="P13" i="17" a="1"/>
  <c r="P13" i="17" s="1"/>
  <c r="P14" i="17" a="1"/>
  <c r="P14" i="17"/>
  <c r="P15" i="17" a="1"/>
  <c r="P15" i="17"/>
  <c r="P16" i="17" a="1"/>
  <c r="P16" i="17"/>
  <c r="P17" i="17" a="1"/>
  <c r="P17" i="17"/>
  <c r="P18" i="17" a="1"/>
  <c r="P18" i="17"/>
  <c r="P4" i="17" a="1"/>
  <c r="P4" i="17" s="1"/>
  <c r="P19" i="17" a="1"/>
  <c r="P19" i="17" s="1"/>
  <c r="P20" i="17" a="1"/>
  <c r="P20" i="17"/>
  <c r="P21" i="17" a="1"/>
  <c r="P21" i="17" s="1"/>
  <c r="P22" i="17" a="1"/>
  <c r="P22" i="17" s="1"/>
  <c r="P23" i="17" a="1"/>
  <c r="P23" i="17"/>
  <c r="P24" i="17" a="1"/>
  <c r="P24" i="17" s="1"/>
  <c r="P5" i="17" a="1"/>
  <c r="P5" i="17" s="1"/>
  <c r="P25" i="17" a="1"/>
  <c r="P25" i="17"/>
  <c r="P26" i="17" a="1"/>
  <c r="P26" i="17"/>
  <c r="P27" i="17" a="1"/>
  <c r="P27" i="17"/>
  <c r="P28" i="17" a="1"/>
  <c r="P28" i="17" s="1"/>
  <c r="P29" i="17" a="1"/>
  <c r="P29" i="17"/>
  <c r="P30" i="17" a="1"/>
  <c r="P30" i="17" s="1"/>
  <c r="P6" i="17" a="1"/>
  <c r="P6" i="17" s="1"/>
  <c r="P31" i="17" a="1"/>
  <c r="P31" i="17"/>
  <c r="P32" i="17" a="1"/>
  <c r="P32" i="17"/>
  <c r="P33" i="17" a="1"/>
  <c r="P33" i="17"/>
  <c r="P34" i="17" a="1"/>
  <c r="P34" i="17"/>
  <c r="P35" i="17" a="1"/>
  <c r="P35" i="17"/>
  <c r="P36" i="17" a="1"/>
  <c r="P36" i="17"/>
  <c r="G2" i="16"/>
  <c r="O20" i="20" l="1" a="1"/>
  <c r="O20" i="20" s="1"/>
  <c r="L6" i="20" a="1"/>
  <c r="L6" i="20" s="1"/>
  <c r="O12" i="20" a="1"/>
  <c r="O12" i="20" s="1"/>
  <c r="O10" i="20" a="1"/>
  <c r="O10" i="20" s="1"/>
  <c r="L22" i="20" a="1"/>
  <c r="L22" i="20" s="1"/>
  <c r="O7" i="20" a="1"/>
  <c r="O7" i="20" s="1"/>
  <c r="O23" i="20" a="1"/>
  <c r="O23" i="20" s="1"/>
  <c r="P2" i="20" a="1"/>
  <c r="P2" i="20" s="1"/>
  <c r="N9" i="20"/>
  <c r="P19" i="20" a="1"/>
  <c r="P19" i="20" s="1"/>
  <c r="L19" i="20" a="1"/>
  <c r="L19" i="20" s="1"/>
  <c r="N19" i="20" s="1"/>
  <c r="O17" i="20" a="1"/>
  <c r="O17" i="20" s="1"/>
  <c r="K14" i="20" a="1"/>
  <c r="K14" i="20" s="1"/>
  <c r="P12" i="20" a="1"/>
  <c r="P12" i="20" s="1"/>
  <c r="P5" i="20" a="1"/>
  <c r="P5" i="20" s="1"/>
  <c r="P22" i="20" a="1"/>
  <c r="P22" i="20" s="1"/>
  <c r="K25" i="20" a="1"/>
  <c r="K25" i="20" s="1"/>
  <c r="K18" i="20" a="1"/>
  <c r="K18" i="20" s="1"/>
  <c r="K24" i="20" a="1"/>
  <c r="K24" i="20" s="1"/>
  <c r="L25" i="20" a="1"/>
  <c r="L25" i="20" s="1"/>
  <c r="P26" i="20" a="1"/>
  <c r="P26" i="20" s="1"/>
  <c r="K26" i="20" a="1"/>
  <c r="K26" i="20" s="1"/>
  <c r="K5" i="20" a="1"/>
  <c r="K5" i="20" s="1"/>
  <c r="N6" i="20"/>
  <c r="N17" i="20"/>
  <c r="N26" i="20"/>
  <c r="N25" i="20"/>
  <c r="N24" i="20"/>
  <c r="N22" i="20"/>
  <c r="N15" i="20"/>
  <c r="O26" i="20" a="1"/>
  <c r="O26" i="20" s="1"/>
  <c r="L18" i="20" a="1"/>
  <c r="L18" i="20" s="1"/>
  <c r="N18" i="20" s="1"/>
  <c r="K3" i="20" a="1"/>
  <c r="K3" i="20" s="1"/>
  <c r="P20" i="20" a="1"/>
  <c r="P20" i="20" s="1"/>
  <c r="O5" i="20" a="1"/>
  <c r="O5" i="20" s="1"/>
  <c r="K22" i="20" a="1"/>
  <c r="K22" i="20" s="1"/>
  <c r="P9" i="20" a="1"/>
  <c r="P9" i="20" s="1"/>
  <c r="P8" i="20" a="1"/>
  <c r="P8" i="20" s="1"/>
  <c r="O3" i="20" a="1"/>
  <c r="O3" i="20" s="1"/>
  <c r="K10" i="20" a="1"/>
  <c r="K10" i="20" s="1"/>
  <c r="O22" i="20" a="1"/>
  <c r="O22" i="20" s="1"/>
  <c r="L24" i="20" a="1"/>
  <c r="L24" i="20" s="1"/>
  <c r="L14" i="20" a="1"/>
  <c r="L14" i="20" s="1"/>
  <c r="N14" i="20" s="1"/>
  <c r="K19" i="20" a="1"/>
  <c r="K19" i="20" s="1"/>
  <c r="P6" i="20" a="1"/>
  <c r="P6" i="20" s="1"/>
  <c r="L23" i="20" a="1"/>
  <c r="L23" i="20" s="1"/>
  <c r="N23" i="20" s="1"/>
  <c r="L13" i="20" a="1"/>
  <c r="L13" i="20" s="1"/>
  <c r="N13" i="20" s="1"/>
  <c r="P25" i="20" a="1"/>
  <c r="P25" i="20" s="1"/>
  <c r="L2" i="20" a="1"/>
  <c r="L2" i="20" s="1"/>
  <c r="N2" i="20" s="1"/>
  <c r="K17" i="20" a="1"/>
  <c r="K17" i="20" s="1"/>
  <c r="P14" i="20" a="1"/>
  <c r="P14" i="20" s="1"/>
  <c r="O9" i="20" a="1"/>
  <c r="O9" i="20" s="1"/>
  <c r="L21" i="20" a="1"/>
  <c r="L21" i="20" s="1"/>
  <c r="N21" i="20" s="1"/>
  <c r="L11" i="20" a="1"/>
  <c r="L11" i="20" s="1"/>
  <c r="N11" i="20" s="1"/>
  <c r="K16" i="20" a="1"/>
  <c r="K16" i="20" s="1"/>
  <c r="K6" i="20" a="1"/>
  <c r="K6" i="20" s="1"/>
  <c r="P11" i="20" a="1"/>
  <c r="P11" i="20" s="1"/>
  <c r="K23" i="20" a="1"/>
  <c r="K23" i="20" s="1"/>
  <c r="L17" i="20" a="1"/>
  <c r="L17" i="20" s="1"/>
  <c r="O24" i="20" a="1"/>
  <c r="O24" i="20" s="1"/>
  <c r="L26" i="20" a="1"/>
  <c r="L26" i="20" s="1"/>
  <c r="L16" i="20" a="1"/>
  <c r="L16" i="20" s="1"/>
  <c r="N16" i="20" s="1"/>
  <c r="K21" i="20" a="1"/>
  <c r="K21" i="20" s="1"/>
  <c r="L15" i="20" a="1"/>
  <c r="L15" i="20" s="1"/>
  <c r="K7" i="20" a="1"/>
  <c r="K7" i="20" s="1"/>
  <c r="P3" i="20" a="1"/>
  <c r="P3" i="20" s="1"/>
  <c r="O18" i="20" a="1"/>
  <c r="O18" i="20" s="1"/>
  <c r="O8" i="20" a="1"/>
  <c r="O8" i="20" s="1"/>
  <c r="P21" i="20" a="1"/>
  <c r="P21" i="20" s="1"/>
  <c r="O6" i="20" a="1"/>
  <c r="O6" i="20" s="1"/>
  <c r="L8" i="20" a="1"/>
  <c r="L8" i="20" s="1"/>
  <c r="N8" i="20" s="1"/>
  <c r="P10" i="20" a="1"/>
  <c r="P10" i="20" s="1"/>
  <c r="O15" i="20" a="1"/>
  <c r="O15" i="20" s="1"/>
  <c r="K12" i="20" a="1"/>
  <c r="K12" i="20" s="1"/>
  <c r="O14" i="20" a="1"/>
  <c r="O14" i="20" s="1"/>
  <c r="K11" i="20" a="1"/>
  <c r="K11" i="20" s="1"/>
  <c r="P18" i="20" a="1"/>
  <c r="P18" i="20" s="1"/>
  <c r="O13" i="20" a="1"/>
  <c r="O13" i="20" s="1"/>
  <c r="P7" i="20" a="1"/>
  <c r="P7" i="20" s="1"/>
  <c r="O2" i="20" a="1"/>
  <c r="O2" i="20" s="1"/>
  <c r="K9" i="20" a="1"/>
  <c r="K9" i="20" s="1"/>
  <c r="P16" i="20" a="1"/>
  <c r="P16" i="20" s="1"/>
  <c r="O11" i="20" a="1"/>
  <c r="O11" i="20" s="1"/>
  <c r="K8" i="20" a="1"/>
  <c r="K8" i="20" s="1"/>
  <c r="P15" i="20" a="1"/>
  <c r="P15" i="20" s="1"/>
  <c r="P24" i="20" a="1"/>
  <c r="P24" i="20" s="1"/>
  <c r="O19" i="20" a="1"/>
  <c r="O19" i="20" s="1"/>
  <c r="P23" i="20" a="1"/>
  <c r="P23" i="20" s="1"/>
  <c r="P13" i="20" a="1"/>
  <c r="P13" i="20" s="1"/>
  <c r="L20" i="20" a="1"/>
  <c r="L20" i="20" s="1"/>
  <c r="N20" i="20" s="1"/>
  <c r="L10" i="20" a="1"/>
  <c r="L10" i="20" s="1"/>
  <c r="N10" i="20" s="1"/>
  <c r="K15" i="20" a="1"/>
  <c r="K15" i="20" s="1"/>
  <c r="K4" i="20" a="1"/>
  <c r="K4" i="20" s="1"/>
  <c r="O16" i="20" a="1"/>
  <c r="O16" i="20" s="1"/>
  <c r="K13" i="20" a="1"/>
  <c r="K13" i="20" s="1"/>
  <c r="O25" i="20" a="1"/>
  <c r="O25" i="20" s="1"/>
  <c r="L7" i="20" a="1"/>
  <c r="L7" i="20" s="1"/>
  <c r="N7" i="20" s="1"/>
  <c r="K2" i="20" a="1"/>
  <c r="K2" i="20" s="1"/>
  <c r="O4" i="20" a="1"/>
  <c r="O4" i="20" s="1"/>
  <c r="L5" i="20" a="1"/>
  <c r="L5" i="20" s="1"/>
  <c r="N5" i="20" s="1"/>
  <c r="K20" i="20" a="1"/>
  <c r="K20" i="20" s="1"/>
  <c r="P17" i="20" a="1"/>
  <c r="P17" i="20" s="1"/>
  <c r="L4" i="20" a="1"/>
  <c r="L4" i="20" s="1"/>
  <c r="N4" i="20" s="1"/>
  <c r="L3" i="20" a="1"/>
  <c r="L3" i="20" s="1"/>
  <c r="N3" i="20" s="1"/>
  <c r="L12" i="20" a="1"/>
  <c r="L12" i="20" s="1"/>
  <c r="N12" i="20" s="1"/>
  <c r="P4" i="20" a="1"/>
  <c r="P4" i="20" s="1"/>
  <c r="T12" i="18" a="1"/>
  <c r="T12" i="18" s="1"/>
  <c r="P6" i="18" a="1"/>
  <c r="P6" i="18" s="1"/>
  <c r="S11" i="18" a="1"/>
  <c r="S11" i="18" s="1"/>
  <c r="S7" i="18" a="1"/>
  <c r="S7" i="18" s="1"/>
  <c r="O6" i="18" a="1"/>
  <c r="O6" i="18" s="1"/>
  <c r="S17" i="18" a="1"/>
  <c r="S17" i="18" s="1"/>
  <c r="O25" i="18" a="1"/>
  <c r="O25" i="18" s="1"/>
  <c r="T2" i="18" a="1"/>
  <c r="T2" i="18" s="1"/>
  <c r="O22" i="18" a="1"/>
  <c r="O22" i="18" s="1"/>
  <c r="S22" i="18" a="1"/>
  <c r="S22" i="18" s="1"/>
  <c r="S8" i="18" a="1"/>
  <c r="S8" i="18" s="1"/>
  <c r="P18" i="18" a="1"/>
  <c r="P18" i="18" s="1"/>
  <c r="P5" i="18" a="1"/>
  <c r="P5" i="18" s="1"/>
  <c r="R5" i="18" s="1"/>
  <c r="U5" i="18" s="1"/>
  <c r="O9" i="18" a="1"/>
  <c r="O9" i="18" s="1"/>
  <c r="T10" i="18" a="1"/>
  <c r="T10" i="18" s="1"/>
  <c r="P15" i="18" a="1"/>
  <c r="P15" i="18" s="1"/>
  <c r="R15" i="18" s="1"/>
  <c r="U15" i="18" s="1"/>
  <c r="P9" i="18" a="1"/>
  <c r="P9" i="18" s="1"/>
  <c r="R9" i="18" s="1"/>
  <c r="U9" i="18" s="1"/>
  <c r="O26" i="18" a="1"/>
  <c r="O26" i="18" s="1"/>
  <c r="R20" i="18"/>
  <c r="U20" i="18" s="1"/>
  <c r="R10" i="18"/>
  <c r="U10" i="18" s="1"/>
  <c r="R6" i="18"/>
  <c r="U6" i="18" s="1"/>
  <c r="R21" i="18"/>
  <c r="U21" i="18" s="1"/>
  <c r="R19" i="18"/>
  <c r="U19" i="18" s="1"/>
  <c r="R18" i="18"/>
  <c r="U18" i="18" s="1"/>
  <c r="R25" i="18"/>
  <c r="U25" i="18" s="1"/>
  <c r="R13" i="18"/>
  <c r="U13" i="18" s="1"/>
  <c r="S6" i="18" a="1"/>
  <c r="S6" i="18" s="1"/>
  <c r="O3" i="18" a="1"/>
  <c r="O3" i="18" s="1"/>
  <c r="T20" i="18" a="1"/>
  <c r="T20" i="18" s="1"/>
  <c r="P17" i="18" a="1"/>
  <c r="P17" i="18" s="1"/>
  <c r="R17" i="18" s="1"/>
  <c r="U17" i="18" s="1"/>
  <c r="S14" i="18" a="1"/>
  <c r="S14" i="18" s="1"/>
  <c r="O11" i="18" a="1"/>
  <c r="O11" i="18" s="1"/>
  <c r="S23" i="18" a="1"/>
  <c r="S23" i="18" s="1"/>
  <c r="O10" i="18" a="1"/>
  <c r="O10" i="18" s="1"/>
  <c r="S2" i="18" a="1"/>
  <c r="S2" i="18" s="1"/>
  <c r="P24" i="18" a="1"/>
  <c r="P24" i="18" s="1"/>
  <c r="R24" i="18" s="1"/>
  <c r="U24" i="18" s="1"/>
  <c r="P14" i="18" a="1"/>
  <c r="P14" i="18" s="1"/>
  <c r="R14" i="18" s="1"/>
  <c r="U14" i="18" s="1"/>
  <c r="P4" i="18" a="1"/>
  <c r="P4" i="18" s="1"/>
  <c r="R4" i="18" s="1"/>
  <c r="U4" i="18" s="1"/>
  <c r="O19" i="18" a="1"/>
  <c r="O19" i="18" s="1"/>
  <c r="T26" i="18" a="1"/>
  <c r="T26" i="18" s="1"/>
  <c r="T16" i="18" a="1"/>
  <c r="T16" i="18" s="1"/>
  <c r="T6" i="18" a="1"/>
  <c r="T6" i="18" s="1"/>
  <c r="S21" i="18" a="1"/>
  <c r="S21" i="18" s="1"/>
  <c r="S26" i="18" a="1"/>
  <c r="S26" i="18" s="1"/>
  <c r="O23" i="18" a="1"/>
  <c r="O23" i="18" s="1"/>
  <c r="S15" i="18" a="1"/>
  <c r="S15" i="18" s="1"/>
  <c r="O12" i="18" a="1"/>
  <c r="O12" i="18" s="1"/>
  <c r="S4" i="18" a="1"/>
  <c r="S4" i="18" s="1"/>
  <c r="S3" i="18" a="1"/>
  <c r="S3" i="18" s="1"/>
  <c r="T7" i="18" a="1"/>
  <c r="T7" i="18" s="1"/>
  <c r="P23" i="18" a="1"/>
  <c r="P23" i="18" s="1"/>
  <c r="R23" i="18" s="1"/>
  <c r="U23" i="18" s="1"/>
  <c r="P13" i="18" a="1"/>
  <c r="P13" i="18" s="1"/>
  <c r="P3" i="18" a="1"/>
  <c r="P3" i="18" s="1"/>
  <c r="R3" i="18" s="1"/>
  <c r="U3" i="18" s="1"/>
  <c r="O18" i="18" a="1"/>
  <c r="O18" i="18" s="1"/>
  <c r="O8" i="18" a="1"/>
  <c r="O8" i="18" s="1"/>
  <c r="T25" i="18" a="1"/>
  <c r="T25" i="18" s="1"/>
  <c r="T15" i="18" a="1"/>
  <c r="T15" i="18" s="1"/>
  <c r="T5" i="18" a="1"/>
  <c r="T5" i="18" s="1"/>
  <c r="S20" i="18" a="1"/>
  <c r="S20" i="18" s="1"/>
  <c r="S10" i="18" a="1"/>
  <c r="S10" i="18" s="1"/>
  <c r="T21" i="18" a="1"/>
  <c r="T21" i="18" s="1"/>
  <c r="P8" i="18" a="1"/>
  <c r="P8" i="18" s="1"/>
  <c r="R8" i="18" s="1"/>
  <c r="U8" i="18" s="1"/>
  <c r="S25" i="18" a="1"/>
  <c r="S25" i="18" s="1"/>
  <c r="P7" i="18" a="1"/>
  <c r="P7" i="18" s="1"/>
  <c r="R7" i="18" s="1"/>
  <c r="U7" i="18" s="1"/>
  <c r="T9" i="18" a="1"/>
  <c r="T9" i="18" s="1"/>
  <c r="P26" i="18" a="1"/>
  <c r="P26" i="18" s="1"/>
  <c r="R26" i="18" s="1"/>
  <c r="U26" i="18" s="1"/>
  <c r="P16" i="18" a="1"/>
  <c r="P16" i="18" s="1"/>
  <c r="R16" i="18" s="1"/>
  <c r="U16" i="18" s="1"/>
  <c r="T18" i="18" a="1"/>
  <c r="T18" i="18" s="1"/>
  <c r="P25" i="18" a="1"/>
  <c r="P25" i="18" s="1"/>
  <c r="S12" i="18" a="1"/>
  <c r="S12" i="18" s="1"/>
  <c r="P2" i="18" a="1"/>
  <c r="P2" i="18" s="1"/>
  <c r="R2" i="18" s="1"/>
  <c r="U2" i="18" s="1"/>
  <c r="T24" i="18" a="1"/>
  <c r="T24" i="18" s="1"/>
  <c r="T14" i="18" a="1"/>
  <c r="T14" i="18" s="1"/>
  <c r="S19" i="18" a="1"/>
  <c r="S19" i="18" s="1"/>
  <c r="T23" i="18" a="1"/>
  <c r="T23" i="18" s="1"/>
  <c r="T13" i="18" a="1"/>
  <c r="T13" i="18" s="1"/>
  <c r="T3" i="18" a="1"/>
  <c r="T3" i="18" s="1"/>
  <c r="S18" i="18" a="1"/>
  <c r="S18" i="18" s="1"/>
  <c r="S16" i="18" a="1"/>
  <c r="S16" i="18" s="1"/>
  <c r="O13" i="18" a="1"/>
  <c r="O13" i="18" s="1"/>
  <c r="S5" i="18" a="1"/>
  <c r="S5" i="18" s="1"/>
  <c r="O2" i="18" a="1"/>
  <c r="O2" i="18" s="1"/>
  <c r="T19" i="18" a="1"/>
  <c r="T19" i="18" s="1"/>
  <c r="O21" i="18" a="1"/>
  <c r="O21" i="18" s="1"/>
  <c r="T8" i="18" a="1"/>
  <c r="T8" i="18" s="1"/>
  <c r="O20" i="18" a="1"/>
  <c r="O20" i="18" s="1"/>
  <c r="T17" i="18" a="1"/>
  <c r="T17" i="18" s="1"/>
  <c r="O7" i="18" a="1"/>
  <c r="O7" i="18" s="1"/>
  <c r="S9" i="18" a="1"/>
  <c r="S9" i="18" s="1"/>
  <c r="P11" i="18" a="1"/>
  <c r="P11" i="18" s="1"/>
  <c r="R11" i="18" s="1"/>
  <c r="U11" i="18" s="1"/>
  <c r="O16" i="18" a="1"/>
  <c r="O16" i="18" s="1"/>
  <c r="P20" i="18" a="1"/>
  <c r="P20" i="18" s="1"/>
  <c r="P10" i="18" a="1"/>
  <c r="P10" i="18" s="1"/>
  <c r="O15" i="18" a="1"/>
  <c r="O15" i="18" s="1"/>
  <c r="O5" i="18" a="1"/>
  <c r="O5" i="18" s="1"/>
  <c r="T11" i="18" a="1"/>
  <c r="T11" i="18" s="1"/>
  <c r="S24" i="18" a="1"/>
  <c r="S24" i="18" s="1"/>
  <c r="S13" i="18" a="1"/>
  <c r="S13" i="18" s="1"/>
  <c r="P22" i="18" a="1"/>
  <c r="P22" i="18" s="1"/>
  <c r="R22" i="18" s="1"/>
  <c r="U22" i="18" s="1"/>
  <c r="P12" i="18" a="1"/>
  <c r="P12" i="18" s="1"/>
  <c r="R12" i="18" s="1"/>
  <c r="U12" i="18" s="1"/>
  <c r="O17" i="18" a="1"/>
  <c r="O17" i="18" s="1"/>
  <c r="T4" i="18" a="1"/>
  <c r="T4" i="18" s="1"/>
  <c r="T22" i="18" a="1"/>
  <c r="T22" i="18" s="1"/>
  <c r="U21" i="17" a="1"/>
  <c r="U21" i="17" s="1"/>
  <c r="R23" i="17" a="1"/>
  <c r="R23" i="17" s="1"/>
  <c r="V23" i="17" a="1"/>
  <c r="V23" i="17" s="1"/>
  <c r="N23" i="17" a="1"/>
  <c r="N23" i="17" s="1"/>
  <c r="T23" i="17" a="1"/>
  <c r="T23" i="17" s="1"/>
  <c r="N26" i="17" a="1"/>
  <c r="N26" i="17" s="1"/>
  <c r="S23" i="17" a="1"/>
  <c r="S23" i="17" s="1"/>
  <c r="O23" i="17" a="1"/>
  <c r="O23" i="17" s="1"/>
  <c r="X23" i="17" a="1"/>
  <c r="X23" i="17" s="1"/>
  <c r="Y23" i="17" s="1"/>
  <c r="Q23" i="17" s="1"/>
  <c r="W23" i="17" s="1"/>
  <c r="N9" i="17" a="1"/>
  <c r="N9" i="17" s="1"/>
  <c r="U23" i="17" a="1"/>
  <c r="U23" i="17" s="1"/>
  <c r="O13" i="17" a="1"/>
  <c r="O13" i="17" s="1"/>
  <c r="O6" i="17" a="1"/>
  <c r="O6" i="17" s="1"/>
  <c r="S14" i="17" a="1"/>
  <c r="S14" i="17" s="1"/>
  <c r="O2" i="17" a="1"/>
  <c r="O2" i="17" s="1"/>
  <c r="O32" i="17" a="1"/>
  <c r="O32" i="17" s="1"/>
  <c r="R16" i="17" a="1"/>
  <c r="R16" i="17" s="1"/>
  <c r="R35" i="17" a="1"/>
  <c r="R35" i="17" s="1"/>
  <c r="X7" i="17" a="1"/>
  <c r="X7" i="17" s="1"/>
  <c r="Y7" i="17" s="1"/>
  <c r="T35" i="17" a="1"/>
  <c r="T35" i="17" s="1"/>
  <c r="T36" i="17" a="1"/>
  <c r="T36" i="17" s="1"/>
  <c r="U13" i="17" a="1"/>
  <c r="U13" i="17" s="1"/>
  <c r="N11" i="17" a="1"/>
  <c r="N11" i="17" s="1"/>
  <c r="V36" i="17" a="1"/>
  <c r="V36" i="17" s="1"/>
  <c r="V4" i="17" a="1"/>
  <c r="V4" i="17" s="1"/>
  <c r="T16" i="17" a="1"/>
  <c r="T16" i="17" s="1"/>
  <c r="S19" i="17" a="1"/>
  <c r="S19" i="17" s="1"/>
  <c r="R33" i="17" a="1"/>
  <c r="R33" i="17" s="1"/>
  <c r="V7" i="17" a="1"/>
  <c r="V7" i="17" s="1"/>
  <c r="R32" i="17" a="1"/>
  <c r="R32" i="17" s="1"/>
  <c r="T4" i="17" a="1"/>
  <c r="T4" i="17" s="1"/>
  <c r="S3" i="17" a="1"/>
  <c r="S3" i="17" s="1"/>
  <c r="X24" i="17" a="1"/>
  <c r="X24" i="17" s="1"/>
  <c r="Y24" i="17" s="1"/>
  <c r="Q24" i="17" s="1"/>
  <c r="W24" i="17" s="1"/>
  <c r="V24" i="17" a="1"/>
  <c r="V24" i="17" s="1"/>
  <c r="V2" i="17" a="1"/>
  <c r="V2" i="17" s="1"/>
  <c r="T18" i="17" a="1"/>
  <c r="T18" i="17" s="1"/>
  <c r="T33" i="17" a="1"/>
  <c r="T33" i="17" s="1"/>
  <c r="R10" i="17" a="1"/>
  <c r="R10" i="17" s="1"/>
  <c r="R19" i="17" a="1"/>
  <c r="R19" i="17" s="1"/>
  <c r="T19" i="17" a="1"/>
  <c r="T19" i="17" s="1"/>
  <c r="V19" i="17" a="1"/>
  <c r="V19" i="17" s="1"/>
  <c r="O19" i="17" a="1"/>
  <c r="O19" i="17" s="1"/>
  <c r="X19" i="17" a="1"/>
  <c r="X19" i="17" s="1"/>
  <c r="O5" i="17" a="1"/>
  <c r="O5" i="17" s="1"/>
  <c r="S30" i="17" a="1"/>
  <c r="S30" i="17" s="1"/>
  <c r="X33" i="17" a="1"/>
  <c r="X33" i="17" s="1"/>
  <c r="Y33" i="17" s="1"/>
  <c r="U14" i="17" a="1"/>
  <c r="U14" i="17" s="1"/>
  <c r="N19" i="17" a="1"/>
  <c r="N19" i="17" s="1"/>
  <c r="S34" i="17" a="1"/>
  <c r="S34" i="17" s="1"/>
  <c r="U34" i="17" a="1"/>
  <c r="U34" i="17" s="1"/>
  <c r="N34" i="17" a="1"/>
  <c r="N34" i="17" s="1"/>
  <c r="R25" i="17" a="1"/>
  <c r="R25" i="17" s="1"/>
  <c r="N33" i="17" a="1"/>
  <c r="N33" i="17" s="1"/>
  <c r="S33" i="17" a="1"/>
  <c r="S33" i="17" s="1"/>
  <c r="U33" i="17" a="1"/>
  <c r="U33" i="17" s="1"/>
  <c r="X16" i="17" a="1"/>
  <c r="X16" i="17" s="1"/>
  <c r="Y16" i="17" s="1"/>
  <c r="Q16" i="17" s="1"/>
  <c r="W16" i="17" s="1"/>
  <c r="R7" i="17" a="1"/>
  <c r="R7" i="17" s="1"/>
  <c r="U29" i="17" a="1"/>
  <c r="U29" i="17" s="1"/>
  <c r="O12" i="17" a="1"/>
  <c r="O12" i="17" s="1"/>
  <c r="R24" i="17" a="1"/>
  <c r="R24" i="17" s="1"/>
  <c r="X14" i="17" a="1"/>
  <c r="X14" i="17" s="1"/>
  <c r="Y14" i="17" s="1"/>
  <c r="T9" i="17" a="1"/>
  <c r="T9" i="17" s="1"/>
  <c r="N3" i="17" a="1"/>
  <c r="N3" i="17" s="1"/>
  <c r="R29" i="17" a="1"/>
  <c r="R29" i="17" s="1"/>
  <c r="V11" i="17" a="1"/>
  <c r="V11" i="17" s="1"/>
  <c r="V26" i="17" a="1"/>
  <c r="V26" i="17" s="1"/>
  <c r="V10" i="17" a="1"/>
  <c r="V10" i="17" s="1"/>
  <c r="R36" i="17" a="1"/>
  <c r="R36" i="17" s="1"/>
  <c r="R4" i="17" a="1"/>
  <c r="R4" i="17" s="1"/>
  <c r="R28" i="17" a="1"/>
  <c r="R28" i="17" s="1"/>
  <c r="R11" i="17" a="1"/>
  <c r="R11" i="17" s="1"/>
  <c r="V21" i="17" a="1"/>
  <c r="V21" i="17" s="1"/>
  <c r="T21" i="17" a="1"/>
  <c r="T21" i="17" s="1"/>
  <c r="R21" i="17" a="1"/>
  <c r="R21" i="17" s="1"/>
  <c r="O21" i="17" a="1"/>
  <c r="O21" i="17" s="1"/>
  <c r="V17" i="17" a="1"/>
  <c r="V17" i="17" s="1"/>
  <c r="N16" i="17" a="1"/>
  <c r="N16" i="17" s="1"/>
  <c r="S16" i="17" a="1"/>
  <c r="S16" i="17" s="1"/>
  <c r="U16" i="17" a="1"/>
  <c r="U16" i="17" s="1"/>
  <c r="S12" i="17" a="1"/>
  <c r="S12" i="17" s="1"/>
  <c r="T26" i="17" a="1"/>
  <c r="T26" i="17" s="1"/>
  <c r="N18" i="17" a="1"/>
  <c r="N18" i="17" s="1"/>
  <c r="X6" i="17" a="1"/>
  <c r="X6" i="17" s="1"/>
  <c r="Y6" i="17" s="1"/>
  <c r="X13" i="17" a="1"/>
  <c r="X13" i="17" s="1"/>
  <c r="Y13" i="17" s="1"/>
  <c r="S2" i="17" a="1"/>
  <c r="S2" i="17" s="1"/>
  <c r="V25" i="17" a="1"/>
  <c r="V25" i="17" s="1"/>
  <c r="V9" i="17" a="1"/>
  <c r="V9" i="17" s="1"/>
  <c r="R18" i="17" a="1"/>
  <c r="R18" i="17" s="1"/>
  <c r="T22" i="17" a="1"/>
  <c r="T22" i="17" s="1"/>
  <c r="N22" i="17" a="1"/>
  <c r="N22" i="17" s="1"/>
  <c r="R22" i="17" a="1"/>
  <c r="R22" i="17" s="1"/>
  <c r="V22" i="17" a="1"/>
  <c r="V22" i="17" s="1"/>
  <c r="R15" i="17" a="1"/>
  <c r="R15" i="17" s="1"/>
  <c r="O8" i="17" a="1"/>
  <c r="O8" i="17" s="1"/>
  <c r="X20" i="17" a="1"/>
  <c r="X20" i="17" s="1"/>
  <c r="Y20" i="17" s="1"/>
  <c r="Q20" i="17" s="1"/>
  <c r="W20" i="17" s="1"/>
  <c r="R20" i="17" a="1"/>
  <c r="R20" i="17" s="1"/>
  <c r="T20" i="17" a="1"/>
  <c r="T20" i="17" s="1"/>
  <c r="V20" i="17" a="1"/>
  <c r="V20" i="17" s="1"/>
  <c r="O20" i="17" a="1"/>
  <c r="O20" i="17" s="1"/>
  <c r="X22" i="17" a="1"/>
  <c r="X22" i="17" s="1"/>
  <c r="Y22" i="17" s="1"/>
  <c r="S6" i="17" a="1"/>
  <c r="S6" i="17" s="1"/>
  <c r="X34" i="17" a="1"/>
  <c r="X34" i="17" s="1"/>
  <c r="Y34" i="17" s="1"/>
  <c r="U31" i="17" a="1"/>
  <c r="U31" i="17" s="1"/>
  <c r="N20" i="17" a="1"/>
  <c r="N20" i="17" s="1"/>
  <c r="U4" i="17" a="1"/>
  <c r="U4" i="17" s="1"/>
  <c r="O4" i="17" a="1"/>
  <c r="O4" i="17" s="1"/>
  <c r="X4" i="17" a="1"/>
  <c r="X4" i="17" s="1"/>
  <c r="Y4" i="17" s="1"/>
  <c r="Q4" i="17" s="1"/>
  <c r="W4" i="17" s="1"/>
  <c r="S4" i="17" a="1"/>
  <c r="S4" i="17" s="1"/>
  <c r="S13" i="17" a="1"/>
  <c r="S13" i="17" s="1"/>
  <c r="V33" i="17" a="1"/>
  <c r="V33" i="17" s="1"/>
  <c r="U17" i="17" a="1"/>
  <c r="U17" i="17" s="1"/>
  <c r="S17" i="17" a="1"/>
  <c r="S17" i="17" s="1"/>
  <c r="N17" i="17" a="1"/>
  <c r="N17" i="17" s="1"/>
  <c r="R8" i="17" a="1"/>
  <c r="R8" i="17" s="1"/>
  <c r="U30" i="17" a="1"/>
  <c r="U30" i="17" s="1"/>
  <c r="R5" i="17" a="1"/>
  <c r="R5" i="17" s="1"/>
  <c r="X31" i="17" a="1"/>
  <c r="X31" i="17" s="1"/>
  <c r="Y31" i="17" s="1"/>
  <c r="X15" i="17" a="1"/>
  <c r="X15" i="17" s="1"/>
  <c r="Y15" i="17" s="1"/>
  <c r="V15" i="17" a="1"/>
  <c r="V15" i="17" s="1"/>
  <c r="N6" i="17" a="1"/>
  <c r="N6" i="17" s="1"/>
  <c r="R2" i="17" a="1"/>
  <c r="R2" i="17" s="1"/>
  <c r="U28" i="17" a="1"/>
  <c r="U28" i="17" s="1"/>
  <c r="N30" i="17" a="1"/>
  <c r="N30" i="17" s="1"/>
  <c r="T5" i="17" a="1"/>
  <c r="T5" i="17" s="1"/>
  <c r="N12" i="17" a="1"/>
  <c r="N12" i="17" s="1"/>
  <c r="X3" i="17" a="1"/>
  <c r="X3" i="17" s="1"/>
  <c r="Y3" i="17" s="1"/>
  <c r="Q3" i="17" s="1"/>
  <c r="W3" i="17" s="1"/>
  <c r="T24" i="17" a="1"/>
  <c r="T24" i="17" s="1"/>
  <c r="T7" i="17" a="1"/>
  <c r="T7" i="17" s="1"/>
  <c r="S21" i="17" a="1"/>
  <c r="S21" i="17" s="1"/>
  <c r="O15" i="17" a="1"/>
  <c r="O15" i="17" s="1"/>
  <c r="N28" i="17" a="1"/>
  <c r="N28" i="17" s="1"/>
  <c r="Y19" i="17"/>
  <c r="Q19" i="17" s="1"/>
  <c r="W19" i="17" s="1"/>
  <c r="X2" i="17" a="1"/>
  <c r="X2" i="17" s="1"/>
  <c r="Y2" i="17" s="1"/>
  <c r="Q2" i="17" s="1"/>
  <c r="W2" i="17" s="1"/>
  <c r="T34" i="17" a="1"/>
  <c r="T34" i="17" s="1"/>
  <c r="V35" i="17" a="1"/>
  <c r="V35" i="17" s="1"/>
  <c r="U19" i="17" a="1"/>
  <c r="U19" i="17" s="1"/>
  <c r="R27" i="17" a="1"/>
  <c r="R27" i="17" s="1"/>
  <c r="V18" i="17" a="1"/>
  <c r="V18" i="17" s="1"/>
  <c r="T32" i="17" a="1"/>
  <c r="T32" i="17" s="1"/>
  <c r="R9" i="17" a="1"/>
  <c r="R9" i="17" s="1"/>
  <c r="O35" i="17" a="1"/>
  <c r="O35" i="17" s="1"/>
  <c r="X35" i="17" a="1"/>
  <c r="X35" i="17" s="1"/>
  <c r="Y35" i="17" s="1"/>
  <c r="Q35" i="17" s="1"/>
  <c r="W35" i="17" s="1"/>
  <c r="S35" i="17" a="1"/>
  <c r="S35" i="17" s="1"/>
  <c r="U35" i="17" a="1"/>
  <c r="U35" i="17" s="1"/>
  <c r="S18" i="17" a="1"/>
  <c r="S18" i="17" s="1"/>
  <c r="O18" i="17" a="1"/>
  <c r="O18" i="17" s="1"/>
  <c r="X18" i="17" a="1"/>
  <c r="X18" i="17" s="1"/>
  <c r="Y18" i="17" s="1"/>
  <c r="Q18" i="17" s="1"/>
  <c r="W18" i="17" s="1"/>
  <c r="U18" i="17" a="1"/>
  <c r="U18" i="17" s="1"/>
  <c r="U6" i="17" a="1"/>
  <c r="U6" i="17" s="1"/>
  <c r="T15" i="17" a="1"/>
  <c r="T15" i="17" s="1"/>
  <c r="X32" i="17" a="1"/>
  <c r="X32" i="17" s="1"/>
  <c r="Y32" i="17" s="1"/>
  <c r="T27" i="17" a="1"/>
  <c r="T27" i="17" s="1"/>
  <c r="N36" i="17" a="1"/>
  <c r="N36" i="17" s="1"/>
  <c r="N4" i="17" a="1"/>
  <c r="N4" i="17" s="1"/>
  <c r="S32" i="17" a="1"/>
  <c r="S32" i="17" s="1"/>
  <c r="U32" i="17" a="1"/>
  <c r="U32" i="17" s="1"/>
  <c r="N32" i="17" a="1"/>
  <c r="N32" i="17" s="1"/>
  <c r="S15" i="17" a="1"/>
  <c r="S15" i="17" s="1"/>
  <c r="U15" i="17" a="1"/>
  <c r="U15" i="17" s="1"/>
  <c r="N25" i="17" a="1"/>
  <c r="N25" i="17" s="1"/>
  <c r="O3" i="17" a="1"/>
  <c r="O3" i="17" s="1"/>
  <c r="N15" i="17" a="1"/>
  <c r="N15" i="17" s="1"/>
  <c r="N8" i="17" a="1"/>
  <c r="N8" i="17" s="1"/>
  <c r="O30" i="17" a="1"/>
  <c r="O30" i="17" s="1"/>
  <c r="R31" i="17" a="1"/>
  <c r="R31" i="17" s="1"/>
  <c r="U3" i="17" a="1"/>
  <c r="U3" i="17" s="1"/>
  <c r="O22" i="17" a="1"/>
  <c r="O22" i="17" s="1"/>
  <c r="V27" i="17" a="1"/>
  <c r="V27" i="17" s="1"/>
  <c r="R30" i="17" a="1"/>
  <c r="R30" i="17" s="1"/>
  <c r="T25" i="17" a="1"/>
  <c r="T25" i="17" s="1"/>
  <c r="O34" i="17" a="1"/>
  <c r="O34" i="17" s="1"/>
  <c r="O17" i="17" a="1"/>
  <c r="O17" i="17" s="1"/>
  <c r="U11" i="17" a="1"/>
  <c r="U11" i="17" s="1"/>
  <c r="N29" i="17" a="1"/>
  <c r="N29" i="17" s="1"/>
  <c r="X25" i="17" a="1"/>
  <c r="X25" i="17" s="1"/>
  <c r="Y25" i="17" s="1"/>
  <c r="X5" i="17" a="1"/>
  <c r="X5" i="17" s="1"/>
  <c r="Y5" i="17" s="1"/>
  <c r="X8" i="17" a="1"/>
  <c r="X8" i="17" s="1"/>
  <c r="Y8" i="17" s="1"/>
  <c r="V5" i="17" a="1"/>
  <c r="V5" i="17" s="1"/>
  <c r="V8" i="17" a="1"/>
  <c r="V8" i="17" s="1"/>
  <c r="U22" i="17" a="1"/>
  <c r="U22" i="17" s="1"/>
  <c r="R34" i="17" a="1"/>
  <c r="R34" i="17" s="1"/>
  <c r="R17" i="17" a="1"/>
  <c r="R17" i="17" s="1"/>
  <c r="U20" i="17" a="1"/>
  <c r="U20" i="17" s="1"/>
  <c r="S31" i="17" a="1"/>
  <c r="S31" i="17" s="1"/>
  <c r="O25" i="17" a="1"/>
  <c r="O25" i="17" s="1"/>
  <c r="N21" i="17" a="1"/>
  <c r="N21" i="17" s="1"/>
  <c r="T17" i="17" a="1"/>
  <c r="T17" i="17" s="1"/>
  <c r="V34" i="17" a="1"/>
  <c r="V34" i="17" s="1"/>
  <c r="O7" i="17" a="1"/>
  <c r="O7" i="17" s="1"/>
  <c r="U36" i="17" a="1"/>
  <c r="U36" i="17" s="1"/>
  <c r="O36" i="17" a="1"/>
  <c r="O36" i="17" s="1"/>
  <c r="X36" i="17" a="1"/>
  <c r="X36" i="17" s="1"/>
  <c r="Y36" i="17" s="1"/>
  <c r="Q36" i="17" s="1"/>
  <c r="W36" i="17" s="1"/>
  <c r="S36" i="17" a="1"/>
  <c r="S36" i="17" s="1"/>
  <c r="X21" i="17" a="1"/>
  <c r="X21" i="17" s="1"/>
  <c r="Y21" i="17" s="1"/>
  <c r="R26" i="17" a="1"/>
  <c r="R26" i="17" s="1"/>
  <c r="X17" i="17" a="1"/>
  <c r="X17" i="17" s="1"/>
  <c r="Y17" i="17" s="1"/>
  <c r="O24" i="17" a="1"/>
  <c r="O24" i="17" s="1"/>
  <c r="S29" i="17" a="1"/>
  <c r="S29" i="17" s="1"/>
  <c r="V32" i="17" a="1"/>
  <c r="V32" i="17" s="1"/>
  <c r="V16" i="17" a="1"/>
  <c r="V16" i="17" s="1"/>
  <c r="S28" i="17" a="1"/>
  <c r="S28" i="17" s="1"/>
  <c r="R14" i="17" a="1"/>
  <c r="R14" i="17" s="1"/>
  <c r="T10" i="17" a="1"/>
  <c r="T10" i="17" s="1"/>
  <c r="N35" i="17" a="1"/>
  <c r="N35" i="17" s="1"/>
  <c r="S11" i="17" a="1"/>
  <c r="S11" i="17" s="1"/>
  <c r="V3" i="17" a="1"/>
  <c r="V3" i="17" s="1"/>
  <c r="U12" i="17" a="1"/>
  <c r="U12" i="17" s="1"/>
  <c r="X30" i="17" a="1"/>
  <c r="X30" i="17" s="1"/>
  <c r="Y30" i="17" s="1"/>
  <c r="T8" i="17" a="1"/>
  <c r="T8" i="17" s="1"/>
  <c r="S22" i="17" a="1"/>
  <c r="S22" i="17" s="1"/>
  <c r="O33" i="17" a="1"/>
  <c r="O33" i="17" s="1"/>
  <c r="O16" i="17" a="1"/>
  <c r="O16" i="17" s="1"/>
  <c r="O27" i="17" a="1"/>
  <c r="O27" i="17" s="1"/>
  <c r="T2" i="17" a="1"/>
  <c r="T2" i="17" s="1"/>
  <c r="S20" i="17" a="1"/>
  <c r="S20" i="17" s="1"/>
  <c r="O31" i="17" a="1"/>
  <c r="O31" i="17" s="1"/>
  <c r="O14" i="17" a="1"/>
  <c r="O14" i="17" s="1"/>
  <c r="N27" i="17" a="1"/>
  <c r="N27" i="17" s="1"/>
  <c r="N10" i="17" a="1"/>
  <c r="N10" i="17" s="1"/>
  <c r="U10" i="17" a="1"/>
  <c r="U10" i="17" s="1"/>
  <c r="T31" i="17" a="1"/>
  <c r="T31" i="17" s="1"/>
  <c r="T14" i="17" a="1"/>
  <c r="T14" i="17" s="1"/>
  <c r="X12" i="17" a="1"/>
  <c r="X12" i="17" s="1"/>
  <c r="Y12" i="17" s="1"/>
  <c r="N5" i="17" a="1"/>
  <c r="N5" i="17" s="1"/>
  <c r="S26" i="17" a="1"/>
  <c r="S26" i="17" s="1"/>
  <c r="R6" i="17" a="1"/>
  <c r="R6" i="17" s="1"/>
  <c r="R13" i="17" a="1"/>
  <c r="R13" i="17" s="1"/>
  <c r="X28" i="17" a="1"/>
  <c r="X28" i="17" s="1"/>
  <c r="Y28" i="17" s="1"/>
  <c r="X11" i="17" a="1"/>
  <c r="X11" i="17" s="1"/>
  <c r="Y11" i="17" s="1"/>
  <c r="O28" i="17" a="1"/>
  <c r="O28" i="17" s="1"/>
  <c r="O11" i="17" a="1"/>
  <c r="O11" i="17" s="1"/>
  <c r="N24" i="17" a="1"/>
  <c r="N24" i="17" s="1"/>
  <c r="N2" i="17" a="1"/>
  <c r="N2" i="17" s="1"/>
  <c r="S10" i="17" a="1"/>
  <c r="S10" i="17" s="1"/>
  <c r="U26" i="17" a="1"/>
  <c r="U26" i="17" s="1"/>
  <c r="T13" i="17" a="1"/>
  <c r="T13" i="17" s="1"/>
  <c r="V30" i="17" a="1"/>
  <c r="V30" i="17" s="1"/>
  <c r="S25" i="17" a="1"/>
  <c r="S25" i="17" s="1"/>
  <c r="X27" i="17" a="1"/>
  <c r="X27" i="17" s="1"/>
  <c r="Y27" i="17" s="1"/>
  <c r="X10" i="17" a="1"/>
  <c r="X10" i="17" s="1"/>
  <c r="Y10" i="17" s="1"/>
  <c r="O10" i="17" a="1"/>
  <c r="O10" i="17" s="1"/>
  <c r="N31" i="17" a="1"/>
  <c r="N31" i="17" s="1"/>
  <c r="N14" i="17" a="1"/>
  <c r="N14" i="17" s="1"/>
  <c r="V31" i="17" a="1"/>
  <c r="V31" i="17" s="1"/>
  <c r="V14" i="17" a="1"/>
  <c r="V14" i="17" s="1"/>
  <c r="S27" i="17" a="1"/>
  <c r="S27" i="17" s="1"/>
  <c r="X29" i="17" a="1"/>
  <c r="X29" i="17" s="1"/>
  <c r="Y29" i="17" s="1"/>
  <c r="O29" i="17" a="1"/>
  <c r="O29" i="17" s="1"/>
  <c r="S9" i="17" a="1"/>
  <c r="S9" i="17" s="1"/>
  <c r="U25" i="17" a="1"/>
  <c r="U25" i="17" s="1"/>
  <c r="U8" i="17" a="1"/>
  <c r="U8" i="17" s="1"/>
  <c r="T30" i="17" a="1"/>
  <c r="T30" i="17" s="1"/>
  <c r="T3" i="17" a="1"/>
  <c r="T3" i="17" s="1"/>
  <c r="S8" i="17" a="1"/>
  <c r="S8" i="17" s="1"/>
  <c r="R3" i="17" a="1"/>
  <c r="R3" i="17" s="1"/>
  <c r="V29" i="17" a="1"/>
  <c r="V29" i="17" s="1"/>
  <c r="V12" i="17" a="1"/>
  <c r="V12" i="17" s="1"/>
  <c r="U5" i="17" a="1"/>
  <c r="U5" i="17" s="1"/>
  <c r="U7" i="17" a="1"/>
  <c r="U7" i="17" s="1"/>
  <c r="T29" i="17" a="1"/>
  <c r="T29" i="17" s="1"/>
  <c r="T12" i="17" a="1"/>
  <c r="T12" i="17" s="1"/>
  <c r="S5" i="17" a="1"/>
  <c r="S5" i="17" s="1"/>
  <c r="S7" i="17" a="1"/>
  <c r="S7" i="17" s="1"/>
  <c r="R12" i="17" a="1"/>
  <c r="R12" i="17" s="1"/>
  <c r="N7" i="17" a="1"/>
  <c r="N7" i="17" s="1"/>
  <c r="V6" i="17" a="1"/>
  <c r="V6" i="17" s="1"/>
  <c r="V13" i="17" a="1"/>
  <c r="V13" i="17" s="1"/>
  <c r="T6" i="17" a="1"/>
  <c r="T6" i="17" s="1"/>
  <c r="X26" i="17" a="1"/>
  <c r="X26" i="17" s="1"/>
  <c r="Y26" i="17" s="1"/>
  <c r="X9" i="17" a="1"/>
  <c r="X9" i="17" s="1"/>
  <c r="Y9" i="17" s="1"/>
  <c r="O26" i="17" a="1"/>
  <c r="O26" i="17" s="1"/>
  <c r="O9" i="17" a="1"/>
  <c r="O9" i="17" s="1"/>
  <c r="N13" i="17" a="1"/>
  <c r="N13" i="17" s="1"/>
  <c r="U27" i="17" a="1"/>
  <c r="U27" i="17" s="1"/>
  <c r="U9" i="17" a="1"/>
  <c r="U9" i="17" s="1"/>
  <c r="V28" i="17" a="1"/>
  <c r="V28" i="17" s="1"/>
  <c r="U24" i="17" a="1"/>
  <c r="U24" i="17" s="1"/>
  <c r="U2" i="17" a="1"/>
  <c r="U2" i="17" s="1"/>
  <c r="T28" i="17" a="1"/>
  <c r="T28" i="17" s="1"/>
  <c r="T11" i="17" a="1"/>
  <c r="T11" i="17" s="1"/>
  <c r="S24" i="17" a="1"/>
  <c r="S24" i="17" s="1"/>
  <c r="Q7" i="17" l="1"/>
  <c r="W7" i="17" s="1"/>
  <c r="Q9" i="17"/>
  <c r="W9" i="17" s="1"/>
  <c r="Q27" i="17"/>
  <c r="W27" i="17" s="1"/>
  <c r="Q32" i="17"/>
  <c r="W32" i="17" s="1"/>
  <c r="Q26" i="17"/>
  <c r="W26" i="17" s="1"/>
  <c r="Q8" i="17"/>
  <c r="W8" i="17" s="1"/>
  <c r="Q13" i="17"/>
  <c r="W13" i="17" s="1"/>
  <c r="Q6" i="17"/>
  <c r="W6" i="17" s="1"/>
  <c r="Q33" i="17"/>
  <c r="W33" i="17" s="1"/>
  <c r="Q17" i="17"/>
  <c r="W17" i="17" s="1"/>
  <c r="Q15" i="17"/>
  <c r="W15" i="17" s="1"/>
  <c r="Q14" i="17"/>
  <c r="W14" i="17" s="1"/>
  <c r="Q12" i="17"/>
  <c r="W12" i="17" s="1"/>
  <c r="Q22" i="17"/>
  <c r="W22" i="17" s="1"/>
  <c r="Q21" i="17"/>
  <c r="W21" i="17" s="1"/>
  <c r="Q5" i="17"/>
  <c r="W5" i="17" s="1"/>
  <c r="Q31" i="17"/>
  <c r="W31" i="17" s="1"/>
  <c r="Q11" i="17"/>
  <c r="W11" i="17" s="1"/>
  <c r="Q29" i="17"/>
  <c r="W29" i="17" s="1"/>
  <c r="Q10" i="17"/>
  <c r="W10" i="17" s="1"/>
  <c r="Q25" i="17"/>
  <c r="W25" i="17" s="1"/>
  <c r="Q28" i="17"/>
  <c r="W28" i="17" s="1"/>
  <c r="Q30" i="17"/>
  <c r="W30" i="17" s="1"/>
  <c r="Q34" i="17"/>
  <c r="W3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cuments\tnk089 labs arena\team4_uppgift1_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cuments\tnk089 labs arena\team4_uppgift1_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cuments\tnk089 labs arena\team4_uppgift1_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cuments\tnk089 labs arena\team4_uppgift1_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cuments\tnk089 labs arena\team4_uppgift1_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cuments\tnk089 labs arena\team4_uppgift1_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<sst xmlns="http://schemas.openxmlformats.org/spreadsheetml/2006/main" count="637" uniqueCount="99">
  <si>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</si>
  <si>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</si>
  <si>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</si>
  <si>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</si>
  <si>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</si>
  <si>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</si>
  <si>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</si>
  <si>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</si>
  <si>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</si>
  <si>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</si>
  <si>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</si>
  <si>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</si>
  <si>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</si>
  <si>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</si>
  <si>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</si>
  <si>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</si>
  <si>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</si>
  <si>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</si>
  <si>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</si>
  <si>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</si>
  <si>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</si>
  <si>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</si>
  <si>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</si>
  <si>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</si>
  <si>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</si>
  <si>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</si>
  <si>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</si>
  <si>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</si>
  <si>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</si>
  <si>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</si>
  <si>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</si>
  <si>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</si>
  <si>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</si>
  <si>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</si>
  <si>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</si>
  <si>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</si>
  <si>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</si>
  <si>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</si>
  <si>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</si>
  <si>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</si>
  <si>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</si>
  <si>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</si>
  <si>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</si>
  <si>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</si>
  <si>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</si>
  <si>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</si>
  <si>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</si>
  <si>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</si>
  <si>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</si>
  <si>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</si>
  <si>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</si>
  <si>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</si>
  <si>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</si>
  <si>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</si>
  <si>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</si>
  <si>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</si>
  <si>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</si>
  <si>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</si>
  <si>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</si>
  <si>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</si>
  <si>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</si>
  <si>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</si>
  <si>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</si>
  <si>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</si>
  <si>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</si>
  <si>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</si>
  <si>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</si>
  <si>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</si>
  <si>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</si>
  <si>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\\filur03.it.liu.se\students\basad559\Documents\TNK089 LABS ARENA\team4_uppgift1_1.p</t>
  </si>
  <si>
    <t>2026-01-28 14:43:52</t>
  </si>
  <si>
    <t>Drilling center.Queue</t>
  </si>
  <si>
    <t>Waiting Time</t>
  </si>
  <si>
    <t>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</si>
  <si>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</si>
  <si>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</si>
  <si>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</si>
  <si>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</si>
  <si>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</si>
  <si>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</si>
  <si>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</si>
  <si>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</si>
  <si>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 press</t>
  </si>
  <si>
    <t>Instantaneous Utilization</t>
  </si>
  <si>
    <t>Resource</t>
  </si>
  <si>
    <t>Number Busy</t>
  </si>
  <si>
    <t>Number Scheduled</t>
  </si>
  <si>
    <t>Number Waiting</t>
  </si>
  <si>
    <t>WIP</t>
  </si>
  <si>
    <t>Drill press.NumberSeized</t>
  </si>
  <si>
    <t>Total Number Seized</t>
  </si>
  <si>
    <t>Drill press.ScheduledUtilization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</si>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</sst>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15848032408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 center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.80980510429493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5132872749330799"/>
    </cacheField>
    <cacheField name="Maximum" numFmtId="0">
      <sharedItems containsSemiMixedTypes="0" containsString="0" containsNumber="1" minValue="0" maxValue="73.415589978484704"/>
    </cacheField>
    <cacheField name="NumberObservations" numFmtId="0">
      <sharedItems containsSemiMixedTypes="0" containsString="0" containsNumber="1" containsInteger="1" minValue="134" maxValue="16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6.8926677862689187"/>
    </cacheField>
    <cacheField name="StDevOfAverage" numFmtId="0">
      <sharedItems containsSemiMixedTypes="0" containsString="0" containsNumber="1" minValue="0" maxValue="0.7305191468631463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0705932465849692"/>
    </cacheField>
    <cacheField name="MinimumAverage" numFmtId="0">
      <sharedItems containsSemiMixedTypes="0" containsString="0" containsNumber="1" minValue="0" maxValue="5.8884645155058397"/>
    </cacheField>
    <cacheField name="MaximumAverage" numFmtId="0">
      <sharedItems containsSemiMixedTypes="0" containsString="0" containsNumber="1" minValue="0" maxValue="7.8098051042949397"/>
    </cacheField>
    <cacheField name="OverallMinimum" numFmtId="0">
      <sharedItems containsSemiMixedTypes="0" containsString="0" containsNumber="1" minValue="0" maxValue="1.20224816547654"/>
    </cacheField>
    <cacheField name="OverallMaximum" numFmtId="0">
      <sharedItems containsSemiMixedTypes="0" containsString="0" containsNumber="1" minValue="0" maxValue="73.415589978484704"/>
    </cacheField>
    <cacheField name="AverageNumberObservations" numFmtId="0">
      <sharedItems containsSemiMixedTypes="0" containsString="0" containsNumber="1" minValue="150.80000000000001" maxValue="151.19999999999999"/>
    </cacheField>
    <cacheField name="SummaryHalfWidth" numFmtId="0">
      <sharedItems containsSemiMixedTypes="0" containsString="0" containsNumber="1" minValue="0" maxValue="0.9070593246584969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15848148147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Drill press.NumberSeized"/>
        <s v="Drill press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4421661257995999" maxValue="16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69887379983755582" maxValue="151.19999999999999"/>
    </cacheField>
    <cacheField name="StandardDeviation" numFmtId="0">
      <sharedItems containsSemiMixedTypes="0" containsString="0" containsNumber="1" minValue="3.5921507178221228E-2" maxValue="11.519548602267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602442224415374E-2" maxValue="14.303408774993876"/>
    </cacheField>
    <cacheField name="Minimum" numFmtId="0">
      <sharedItems containsSemiMixedTypes="0" containsString="0" containsNumber="1" minValue="0.64421661257995999" maxValue="134"/>
    </cacheField>
    <cacheField name="Maximum" numFmtId="0">
      <sharedItems containsSemiMixedTypes="0" containsString="0" containsNumber="1" minValue="0.74385294251498302" maxValue="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1584826388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1584849537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Drill press"/>
        <s v="Drilling center.Queu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53072609053233" maxValue="1.59735871431322"/>
    </cacheField>
    <cacheField name="BatchMeansHalfWidth" numFmtId="0">
      <sharedItems containsSemiMixedTypes="0" containsString="0" containsNumber="1" minValue="0.49609998205696698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9887379983755582" maxValue="1.4404589043237639"/>
    </cacheField>
    <cacheField name="StDevOfAverage" numFmtId="0">
      <sharedItems containsSemiMixedTypes="0" containsString="0" containsNumber="1" minValue="0" maxValue="0.1443595795853643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7924609276697798"/>
    </cacheField>
    <cacheField name="MinimumAverage" numFmtId="0">
      <sharedItems containsSemiMixedTypes="0" containsString="0" containsNumber="1" minValue="0.53072609053233" maxValue="1.2281277928474901"/>
    </cacheField>
    <cacheField name="MaximumAverage" numFmtId="0">
      <sharedItems containsSemiMixedTypes="0" containsString="0" containsNumber="1" minValue="0.74385294251498302" maxValue="1.59735871431322"/>
    </cacheField>
    <cacheField name="SummaryHalfWidth" numFmtId="0">
      <sharedItems containsSemiMixedTypes="0" containsString="0" containsNumber="1" minValue="0" maxValue="0.179246092766977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1584872685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6-01-28 14:43:52"/>
    <n v="1"/>
    <x v="0"/>
    <x v="0"/>
    <x v="0"/>
    <n v="3.8941474965602301"/>
    <n v="2E+20"/>
    <n v="0"/>
    <n v="68.223451210839002"/>
    <n v="134"/>
    <s v="Unnamed ProjectDrilling center.QueueWaiting TimeQueue"/>
    <n v="5"/>
    <n v="3.5449513447857379"/>
    <n v="0.68146093749912462"/>
    <n v="0.95"/>
    <n v="0.84614551227484835"/>
    <n v="2.5306144714124401"/>
    <n v="4.3758899938368296"/>
    <n v="0"/>
    <n v="69.8036734299438"/>
    <n v="151.19999999999999"/>
    <n v="0.84614551227484835"/>
    <n v="5"/>
    <n v="1"/>
  </r>
  <r>
    <x v="0"/>
    <s v="2026-01-28 14:43:52"/>
    <n v="2"/>
    <x v="0"/>
    <x v="0"/>
    <x v="0"/>
    <n v="4.3758899938368296"/>
    <n v="2E+20"/>
    <n v="0"/>
    <n v="55.979878383664499"/>
    <n v="148"/>
    <s v="Unnamed ProjectDrilling center.QueueWaiting TimeQueue"/>
    <n v="5"/>
    <n v="3.5449513447857379"/>
    <n v="0.68146093749912462"/>
    <n v="0.95"/>
    <n v="0.84614551227484835"/>
    <n v="2.5306144714124401"/>
    <n v="4.3758899938368296"/>
    <n v="0"/>
    <n v="69.8036734299438"/>
    <n v="151.19999999999999"/>
    <n v="0.84614551227484835"/>
    <n v="5"/>
    <n v="1"/>
  </r>
  <r>
    <x v="0"/>
    <s v="2026-01-28 14:43:52"/>
    <n v="3"/>
    <x v="0"/>
    <x v="0"/>
    <x v="0"/>
    <n v="3.4264484670239299"/>
    <n v="2E+20"/>
    <n v="0"/>
    <n v="61.404409265945098"/>
    <n v="163"/>
    <s v="Unnamed ProjectDrilling center.QueueWaiting TimeQueue"/>
    <n v="5"/>
    <n v="3.5449513447857379"/>
    <n v="0.68146093749912462"/>
    <n v="0.95"/>
    <n v="0.84614551227484835"/>
    <n v="2.5306144714124401"/>
    <n v="4.3758899938368296"/>
    <n v="0"/>
    <n v="69.8036734299438"/>
    <n v="151.19999999999999"/>
    <n v="0.84614551227484835"/>
    <n v="5"/>
    <n v="1"/>
  </r>
  <r>
    <x v="0"/>
    <s v="2026-01-28 14:43:52"/>
    <n v="4"/>
    <x v="0"/>
    <x v="0"/>
    <x v="0"/>
    <n v="2.5306144714124401"/>
    <n v="2E+20"/>
    <n v="0"/>
    <n v="32.897679208346197"/>
    <n v="151"/>
    <s v="Unnamed ProjectDrilling center.QueueWaiting TimeQueue"/>
    <n v="5"/>
    <n v="3.5449513447857379"/>
    <n v="0.68146093749912462"/>
    <n v="0.95"/>
    <n v="0.84614551227484835"/>
    <n v="2.5306144714124401"/>
    <n v="4.3758899938368296"/>
    <n v="0"/>
    <n v="69.8036734299438"/>
    <n v="151.19999999999999"/>
    <n v="0.84614551227484835"/>
    <n v="5"/>
    <n v="1"/>
  </r>
  <r>
    <x v="0"/>
    <s v="2026-01-28 14:43:52"/>
    <n v="5"/>
    <x v="0"/>
    <x v="0"/>
    <x v="0"/>
    <n v="3.4976562950952599"/>
    <n v="2E+20"/>
    <n v="0"/>
    <n v="69.8036734299438"/>
    <n v="160"/>
    <s v="Unnamed ProjectDrilling center.QueueWaiting TimeQueue"/>
    <n v="5"/>
    <n v="3.5449513447857379"/>
    <n v="0.68146093749912462"/>
    <n v="0.95"/>
    <n v="0.84614551227484835"/>
    <n v="2.5306144714124401"/>
    <n v="4.3758899938368296"/>
    <n v="0"/>
    <n v="69.8036734299438"/>
    <n v="151.19999999999999"/>
    <n v="0.84614551227484835"/>
    <n v="5"/>
    <n v="1"/>
  </r>
  <r>
    <x v="0"/>
    <s v="2026-01-28 14:43:52"/>
    <n v="1"/>
    <x v="1"/>
    <x v="1"/>
    <x v="1"/>
    <n v="0"/>
    <n v="2E+20"/>
    <n v="0"/>
    <n v="0"/>
    <n v="134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1"/>
    <x v="1"/>
    <x v="2"/>
    <x v="1"/>
    <n v="0"/>
    <n v="2E+20"/>
    <n v="0"/>
    <n v="0"/>
    <n v="134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1"/>
    <x v="1"/>
    <x v="3"/>
    <x v="1"/>
    <n v="7.3556098925122599"/>
    <n v="2E+20"/>
    <n v="1.4049202988909999"/>
    <n v="73.415589978484704"/>
    <n v="134"/>
    <s v="Unnamed ProjectPartTotal TimeEntity"/>
    <n v="5"/>
    <n v="6.8926677862689187"/>
    <n v="0.73051914686314634"/>
    <n v="0.95"/>
    <n v="0.90705932465849692"/>
    <n v="5.8884645155058397"/>
    <n v="7.8098051042949397"/>
    <n v="1.20224816547654"/>
    <n v="73.415589978484704"/>
    <n v="150.80000000000001"/>
    <n v="0.90705932465849692"/>
    <n v="5"/>
    <n v="1"/>
  </r>
  <r>
    <x v="0"/>
    <s v="2026-01-28 14:43:52"/>
    <n v="1"/>
    <x v="1"/>
    <x v="4"/>
    <x v="1"/>
    <n v="0"/>
    <n v="2E+20"/>
    <n v="0"/>
    <n v="0"/>
    <n v="134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1"/>
    <x v="1"/>
    <x v="5"/>
    <x v="1"/>
    <n v="3.4614623959520299"/>
    <n v="2E+20"/>
    <n v="1.1759604867906399"/>
    <n v="5.7047388640940504"/>
    <n v="134"/>
    <s v="Unnamed ProjectPartVA TimeEntity"/>
    <n v="5"/>
    <n v="3.3394188832465064"/>
    <n v="0.1019245645014674"/>
    <n v="0.95"/>
    <n v="0.12655606227406943"/>
    <n v="3.1996238678891298"/>
    <n v="3.4614623959520299"/>
    <n v="1.1759604867906399"/>
    <n v="5.93193265422937"/>
    <n v="150.80000000000001"/>
    <n v="0.12655606227406943"/>
    <n v="5"/>
    <n v="1"/>
  </r>
  <r>
    <x v="0"/>
    <s v="2026-01-28 14:43:52"/>
    <n v="1"/>
    <x v="1"/>
    <x v="6"/>
    <x v="1"/>
    <n v="3.8941474965602301"/>
    <n v="2E+20"/>
    <n v="0"/>
    <n v="68.223451210839002"/>
    <n v="134"/>
    <s v="Unnamed ProjectPartWait TimeEntity"/>
    <n v="5"/>
    <n v="3.5532489030224141"/>
    <n v="0.68628169430803121"/>
    <n v="0.95"/>
    <n v="0.85213127244856335"/>
    <n v="2.5423343034540702"/>
    <n v="4.4056579529785802"/>
    <n v="0"/>
    <n v="69.8036734299438"/>
    <n v="150.80000000000001"/>
    <n v="0.85213127244856335"/>
    <n v="5"/>
    <n v="1"/>
  </r>
  <r>
    <x v="0"/>
    <s v="2026-01-28 14:43:52"/>
    <n v="2"/>
    <x v="1"/>
    <x v="1"/>
    <x v="1"/>
    <n v="0"/>
    <n v="2E+20"/>
    <n v="0"/>
    <n v="0"/>
    <n v="147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2"/>
    <x v="1"/>
    <x v="2"/>
    <x v="1"/>
    <n v="0"/>
    <n v="2E+20"/>
    <n v="0"/>
    <n v="0"/>
    <n v="147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2"/>
    <x v="1"/>
    <x v="3"/>
    <x v="1"/>
    <n v="7.8098051042949397"/>
    <n v="2E+20"/>
    <n v="1.5132872749330799"/>
    <n v="59.594977745774599"/>
    <n v="147"/>
    <s v="Unnamed ProjectPartTotal TimeEntity"/>
    <n v="5"/>
    <n v="6.8926677862689187"/>
    <n v="0.73051914686314634"/>
    <n v="0.95"/>
    <n v="0.90705932465849692"/>
    <n v="5.8884645155058397"/>
    <n v="7.8098051042949397"/>
    <n v="1.20224816547654"/>
    <n v="73.415589978484704"/>
    <n v="150.80000000000001"/>
    <n v="0.90705932465849692"/>
    <n v="5"/>
    <n v="1"/>
  </r>
  <r>
    <x v="0"/>
    <s v="2026-01-28 14:43:52"/>
    <n v="2"/>
    <x v="1"/>
    <x v="4"/>
    <x v="1"/>
    <n v="0"/>
    <n v="2E+20"/>
    <n v="0"/>
    <n v="0"/>
    <n v="147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2"/>
    <x v="1"/>
    <x v="5"/>
    <x v="1"/>
    <n v="3.4041471513163599"/>
    <n v="2E+20"/>
    <n v="1.3095160077258501"/>
    <n v="5.93193265422937"/>
    <n v="147"/>
    <s v="Unnamed ProjectPartVA TimeEntity"/>
    <n v="5"/>
    <n v="3.3394188832465064"/>
    <n v="0.1019245645014674"/>
    <n v="0.95"/>
    <n v="0.12655606227406943"/>
    <n v="3.1996238678891298"/>
    <n v="3.4614623959520299"/>
    <n v="1.1759604867906399"/>
    <n v="5.93193265422937"/>
    <n v="150.80000000000001"/>
    <n v="0.12655606227406943"/>
    <n v="5"/>
    <n v="1"/>
  </r>
  <r>
    <x v="0"/>
    <s v="2026-01-28 14:43:52"/>
    <n v="2"/>
    <x v="1"/>
    <x v="6"/>
    <x v="1"/>
    <n v="4.4056579529785802"/>
    <n v="2E+20"/>
    <n v="0"/>
    <n v="55.979878383664499"/>
    <n v="147"/>
    <s v="Unnamed ProjectPartWait TimeEntity"/>
    <n v="5"/>
    <n v="3.5532489030224141"/>
    <n v="0.68628169430803121"/>
    <n v="0.95"/>
    <n v="0.85213127244856335"/>
    <n v="2.5423343034540702"/>
    <n v="4.4056579529785802"/>
    <n v="0"/>
    <n v="69.8036734299438"/>
    <n v="150.80000000000001"/>
    <n v="0.85213127244856335"/>
    <n v="5"/>
    <n v="1"/>
  </r>
  <r>
    <x v="0"/>
    <s v="2026-01-28 14:43:52"/>
    <n v="3"/>
    <x v="1"/>
    <x v="1"/>
    <x v="1"/>
    <n v="0"/>
    <n v="2E+20"/>
    <n v="0"/>
    <n v="0"/>
    <n v="163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3"/>
    <x v="1"/>
    <x v="2"/>
    <x v="1"/>
    <n v="0"/>
    <n v="2E+20"/>
    <n v="0"/>
    <n v="0"/>
    <n v="163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3"/>
    <x v="1"/>
    <x v="3"/>
    <x v="1"/>
    <n v="6.7121792560471603"/>
    <n v="2E+20"/>
    <n v="1.20224816547654"/>
    <n v="64.713752893981095"/>
    <n v="163"/>
    <s v="Unnamed ProjectPartTotal TimeEntity"/>
    <n v="5"/>
    <n v="6.8926677862689187"/>
    <n v="0.73051914686314634"/>
    <n v="0.95"/>
    <n v="0.90705932465849692"/>
    <n v="5.8884645155058397"/>
    <n v="7.8098051042949397"/>
    <n v="1.20224816547654"/>
    <n v="73.415589978484704"/>
    <n v="150.80000000000001"/>
    <n v="0.90705932465849692"/>
    <n v="5"/>
    <n v="1"/>
  </r>
  <r>
    <x v="0"/>
    <s v="2026-01-28 14:43:52"/>
    <n v="3"/>
    <x v="1"/>
    <x v="4"/>
    <x v="1"/>
    <n v="0"/>
    <n v="2E+20"/>
    <n v="0"/>
    <n v="0"/>
    <n v="163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3"/>
    <x v="1"/>
    <x v="5"/>
    <x v="1"/>
    <n v="3.2857307890232299"/>
    <n v="2E+20"/>
    <n v="1.20224816547654"/>
    <n v="5.87560159263501"/>
    <n v="163"/>
    <s v="Unnamed ProjectPartVA TimeEntity"/>
    <n v="5"/>
    <n v="3.3394188832465064"/>
    <n v="0.1019245645014674"/>
    <n v="0.95"/>
    <n v="0.12655606227406943"/>
    <n v="3.1996238678891298"/>
    <n v="3.4614623959520299"/>
    <n v="1.1759604867906399"/>
    <n v="5.93193265422937"/>
    <n v="150.80000000000001"/>
    <n v="0.12655606227406943"/>
    <n v="5"/>
    <n v="1"/>
  </r>
  <r>
    <x v="0"/>
    <s v="2026-01-28 14:43:52"/>
    <n v="3"/>
    <x v="1"/>
    <x v="6"/>
    <x v="1"/>
    <n v="3.4264484670239299"/>
    <n v="2E+20"/>
    <n v="0"/>
    <n v="61.404409265945098"/>
    <n v="163"/>
    <s v="Unnamed ProjectPartWait TimeEntity"/>
    <n v="5"/>
    <n v="3.5532489030224141"/>
    <n v="0.68628169430803121"/>
    <n v="0.95"/>
    <n v="0.85213127244856335"/>
    <n v="2.5423343034540702"/>
    <n v="4.4056579529785802"/>
    <n v="0"/>
    <n v="69.8036734299438"/>
    <n v="150.80000000000001"/>
    <n v="0.85213127244856335"/>
    <n v="5"/>
    <n v="1"/>
  </r>
  <r>
    <x v="0"/>
    <s v="2026-01-28 14:43:52"/>
    <n v="4"/>
    <x v="1"/>
    <x v="1"/>
    <x v="1"/>
    <n v="0"/>
    <n v="2E+20"/>
    <n v="0"/>
    <n v="0"/>
    <n v="15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4"/>
    <x v="1"/>
    <x v="2"/>
    <x v="1"/>
    <n v="0"/>
    <n v="2E+20"/>
    <n v="0"/>
    <n v="0"/>
    <n v="15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4"/>
    <x v="1"/>
    <x v="3"/>
    <x v="1"/>
    <n v="5.8884645155058397"/>
    <n v="2E+20"/>
    <n v="1.2139916806486899"/>
    <n v="36.616228289995199"/>
    <n v="150"/>
    <s v="Unnamed ProjectPartTotal TimeEntity"/>
    <n v="5"/>
    <n v="6.8926677862689187"/>
    <n v="0.73051914686314634"/>
    <n v="0.95"/>
    <n v="0.90705932465849692"/>
    <n v="5.8884645155058397"/>
    <n v="7.8098051042949397"/>
    <n v="1.20224816547654"/>
    <n v="73.415589978484704"/>
    <n v="150.80000000000001"/>
    <n v="0.90705932465849692"/>
    <n v="5"/>
    <n v="1"/>
  </r>
  <r>
    <x v="0"/>
    <s v="2026-01-28 14:43:52"/>
    <n v="4"/>
    <x v="1"/>
    <x v="4"/>
    <x v="1"/>
    <n v="0"/>
    <n v="2E+20"/>
    <n v="0"/>
    <n v="0"/>
    <n v="15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4"/>
    <x v="1"/>
    <x v="5"/>
    <x v="1"/>
    <n v="3.3461302120517802"/>
    <n v="2E+20"/>
    <n v="1.2139916806486899"/>
    <n v="5.7165605109972599"/>
    <n v="150"/>
    <s v="Unnamed ProjectPartVA TimeEntity"/>
    <n v="5"/>
    <n v="3.3394188832465064"/>
    <n v="0.1019245645014674"/>
    <n v="0.95"/>
    <n v="0.12655606227406943"/>
    <n v="3.1996238678891298"/>
    <n v="3.4614623959520299"/>
    <n v="1.1759604867906399"/>
    <n v="5.93193265422937"/>
    <n v="150.80000000000001"/>
    <n v="0.12655606227406943"/>
    <n v="5"/>
    <n v="1"/>
  </r>
  <r>
    <x v="0"/>
    <s v="2026-01-28 14:43:52"/>
    <n v="4"/>
    <x v="1"/>
    <x v="6"/>
    <x v="1"/>
    <n v="2.5423343034540702"/>
    <n v="2E+20"/>
    <n v="0"/>
    <n v="32.897679208346197"/>
    <n v="150"/>
    <s v="Unnamed ProjectPartWait TimeEntity"/>
    <n v="5"/>
    <n v="3.5532489030224141"/>
    <n v="0.68628169430803121"/>
    <n v="0.95"/>
    <n v="0.85213127244856335"/>
    <n v="2.5423343034540702"/>
    <n v="4.4056579529785802"/>
    <n v="0"/>
    <n v="69.8036734299438"/>
    <n v="150.80000000000001"/>
    <n v="0.85213127244856335"/>
    <n v="5"/>
    <n v="1"/>
  </r>
  <r>
    <x v="0"/>
    <s v="2026-01-28 14:43:52"/>
    <n v="5"/>
    <x v="1"/>
    <x v="1"/>
    <x v="1"/>
    <n v="0"/>
    <n v="2E+20"/>
    <n v="0"/>
    <n v="0"/>
    <n v="16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5"/>
    <x v="1"/>
    <x v="2"/>
    <x v="1"/>
    <n v="0"/>
    <n v="2E+20"/>
    <n v="0"/>
    <n v="0"/>
    <n v="16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5"/>
    <x v="1"/>
    <x v="3"/>
    <x v="1"/>
    <n v="6.6972801629843897"/>
    <n v="2E+20"/>
    <n v="1.22324648767889"/>
    <n v="73.377078213776102"/>
    <n v="160"/>
    <s v="Unnamed ProjectPartTotal TimeEntity"/>
    <n v="5"/>
    <n v="6.8926677862689187"/>
    <n v="0.73051914686314634"/>
    <n v="0.95"/>
    <n v="0.90705932465849692"/>
    <n v="5.8884645155058397"/>
    <n v="7.8098051042949397"/>
    <n v="1.20224816547654"/>
    <n v="73.415589978484704"/>
    <n v="150.80000000000001"/>
    <n v="0.90705932465849692"/>
    <n v="5"/>
    <n v="1"/>
  </r>
  <r>
    <x v="0"/>
    <s v="2026-01-28 14:43:52"/>
    <n v="5"/>
    <x v="1"/>
    <x v="4"/>
    <x v="1"/>
    <n v="0"/>
    <n v="2E+20"/>
    <n v="0"/>
    <n v="0"/>
    <n v="16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43:52"/>
    <n v="5"/>
    <x v="1"/>
    <x v="5"/>
    <x v="1"/>
    <n v="3.1996238678891298"/>
    <n v="2E+20"/>
    <n v="1.22324648767889"/>
    <n v="5.7533987200526999"/>
    <n v="160"/>
    <s v="Unnamed ProjectPartVA TimeEntity"/>
    <n v="5"/>
    <n v="3.3394188832465064"/>
    <n v="0.1019245645014674"/>
    <n v="0.95"/>
    <n v="0.12655606227406943"/>
    <n v="3.1996238678891298"/>
    <n v="3.4614623959520299"/>
    <n v="1.1759604867906399"/>
    <n v="5.93193265422937"/>
    <n v="150.80000000000001"/>
    <n v="0.12655606227406943"/>
    <n v="5"/>
    <n v="1"/>
  </r>
  <r>
    <x v="0"/>
    <s v="2026-01-28 14:43:52"/>
    <n v="5"/>
    <x v="1"/>
    <x v="6"/>
    <x v="1"/>
    <n v="3.4976562950952599"/>
    <n v="2E+20"/>
    <n v="0"/>
    <n v="69.8036734299438"/>
    <n v="160"/>
    <s v="Unnamed ProjectPartWait TimeEntity"/>
    <n v="5"/>
    <n v="3.5532489030224141"/>
    <n v="0.68628169430803121"/>
    <n v="0.95"/>
    <n v="0.85213127244856335"/>
    <n v="2.5423343034540702"/>
    <n v="4.4056579529785802"/>
    <n v="0"/>
    <n v="69.8036734299438"/>
    <n v="150.80000000000001"/>
    <n v="0.85213127244856335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4:43:52"/>
    <n v="1"/>
    <x v="0"/>
    <x v="0"/>
    <x v="0"/>
    <n v="134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43:52"/>
    <n v="1"/>
    <x v="1"/>
    <x v="1"/>
    <x v="0"/>
    <n v="0.64421661257995999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4:43:52"/>
    <n v="1"/>
    <x v="2"/>
    <x v="2"/>
    <x v="1"/>
    <n v="134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43:52"/>
    <n v="1"/>
    <x v="3"/>
    <x v="3"/>
    <x v="1"/>
    <n v="134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43:52"/>
    <n v="1"/>
    <x v="4"/>
    <x v="3"/>
    <x v="2"/>
    <n v="134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43:52"/>
    <n v="2"/>
    <x v="0"/>
    <x v="0"/>
    <x v="0"/>
    <n v="148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43:52"/>
    <n v="2"/>
    <x v="1"/>
    <x v="1"/>
    <x v="0"/>
    <n v="0.69787021558009399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4:43:52"/>
    <n v="2"/>
    <x v="2"/>
    <x v="2"/>
    <x v="1"/>
    <n v="148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43:52"/>
    <n v="2"/>
    <x v="3"/>
    <x v="3"/>
    <x v="1"/>
    <n v="147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43:52"/>
    <n v="2"/>
    <x v="4"/>
    <x v="3"/>
    <x v="2"/>
    <n v="147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43:52"/>
    <n v="3"/>
    <x v="0"/>
    <x v="0"/>
    <x v="0"/>
    <n v="163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43:52"/>
    <n v="3"/>
    <x v="1"/>
    <x v="1"/>
    <x v="0"/>
    <n v="0.74385294251498302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4:43:52"/>
    <n v="3"/>
    <x v="2"/>
    <x v="2"/>
    <x v="1"/>
    <n v="163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43:52"/>
    <n v="3"/>
    <x v="3"/>
    <x v="3"/>
    <x v="1"/>
    <n v="163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43:52"/>
    <n v="3"/>
    <x v="4"/>
    <x v="3"/>
    <x v="2"/>
    <n v="163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43:52"/>
    <n v="4"/>
    <x v="0"/>
    <x v="0"/>
    <x v="0"/>
    <n v="151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43:52"/>
    <n v="4"/>
    <x v="1"/>
    <x v="1"/>
    <x v="0"/>
    <n v="0.69740170231515697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4:43:52"/>
    <n v="4"/>
    <x v="2"/>
    <x v="2"/>
    <x v="1"/>
    <n v="151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43:52"/>
    <n v="4"/>
    <x v="3"/>
    <x v="3"/>
    <x v="1"/>
    <n v="15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43:52"/>
    <n v="4"/>
    <x v="4"/>
    <x v="3"/>
    <x v="2"/>
    <n v="150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43:52"/>
    <n v="5"/>
    <x v="0"/>
    <x v="0"/>
    <x v="0"/>
    <n v="160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43:52"/>
    <n v="5"/>
    <x v="1"/>
    <x v="1"/>
    <x v="0"/>
    <n v="0.71102752619758502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4:43:52"/>
    <n v="5"/>
    <x v="2"/>
    <x v="2"/>
    <x v="1"/>
    <n v="160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43:52"/>
    <n v="5"/>
    <x v="3"/>
    <x v="3"/>
    <x v="1"/>
    <n v="16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43:52"/>
    <n v="5"/>
    <x v="4"/>
    <x v="3"/>
    <x v="2"/>
    <n v="160"/>
    <n v="0"/>
    <s v="Unnamed ProjectSystem.NumberOutNumber OutSystem"/>
    <n v="5"/>
    <n v="150.80000000000001"/>
    <n v="11.519548602267365"/>
    <n v="0.95"/>
    <n v="14.303408774993876"/>
    <n v="134"/>
    <n v="1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4:43:52"/>
    <n v="1"/>
    <x v="0"/>
    <x v="0"/>
    <x v="0"/>
    <n v="0.64421661257995999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1"/>
    <x v="0"/>
    <x v="1"/>
    <x v="0"/>
    <n v="0.64421661257995999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1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43:52"/>
    <n v="1"/>
    <x v="1"/>
    <x v="3"/>
    <x v="1"/>
    <n v="0.72474411741537703"/>
    <n v="2E+20"/>
    <n v="0"/>
    <n v="6"/>
    <n v="0"/>
    <n v="0"/>
    <s v="Unnamed ProjectDrilling center.QueueNumber WaitingQueue"/>
    <n v="5"/>
    <n v="0.74158510448620607"/>
    <n v="0.13427174352159918"/>
    <n v="0.95"/>
    <n v="0.16672038990681917"/>
    <n v="0.53072609053233"/>
    <n v="0.89948849873312597"/>
    <n v="0.16672038990681917"/>
  </r>
  <r>
    <x v="0"/>
    <s v="2026-01-28 14:43:52"/>
    <n v="1"/>
    <x v="2"/>
    <x v="4"/>
    <x v="2"/>
    <n v="1.3689607299953399"/>
    <n v="2E+20"/>
    <n v="0"/>
    <n v="7"/>
    <n v="0"/>
    <n v="0"/>
    <s v="Unnamed ProjectPartWIPEntity"/>
    <n v="5"/>
    <n v="1.4404589043237639"/>
    <n v="0.14435957958536438"/>
    <n v="0.95"/>
    <n v="0.17924609276697798"/>
    <n v="1.2281277928474901"/>
    <n v="1.59735871431322"/>
    <n v="0.17924609276697798"/>
  </r>
  <r>
    <x v="0"/>
    <s v="2026-01-28 14:43:52"/>
    <n v="2"/>
    <x v="0"/>
    <x v="0"/>
    <x v="0"/>
    <n v="0.69787021558009399"/>
    <n v="2E+20"/>
    <n v="0"/>
    <n v="1"/>
    <n v="1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2"/>
    <x v="0"/>
    <x v="1"/>
    <x v="0"/>
    <n v="0.69787021558009399"/>
    <n v="2E+20"/>
    <n v="0"/>
    <n v="1"/>
    <n v="1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2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43:52"/>
    <n v="2"/>
    <x v="1"/>
    <x v="3"/>
    <x v="1"/>
    <n v="0.89948849873312597"/>
    <n v="2E+20"/>
    <n v="0"/>
    <n v="5"/>
    <n v="0"/>
    <n v="0"/>
    <s v="Unnamed ProjectDrilling center.QueueNumber WaitingQueue"/>
    <n v="5"/>
    <n v="0.74158510448620607"/>
    <n v="0.13427174352159918"/>
    <n v="0.95"/>
    <n v="0.16672038990681917"/>
    <n v="0.53072609053233"/>
    <n v="0.89948849873312597"/>
    <n v="0.16672038990681917"/>
  </r>
  <r>
    <x v="0"/>
    <s v="2026-01-28 14:43:52"/>
    <n v="2"/>
    <x v="2"/>
    <x v="4"/>
    <x v="2"/>
    <n v="1.59735871431322"/>
    <n v="2E+20"/>
    <n v="0"/>
    <n v="6"/>
    <n v="1"/>
    <n v="0"/>
    <s v="Unnamed ProjectPartWIPEntity"/>
    <n v="5"/>
    <n v="1.4404589043237639"/>
    <n v="0.14435957958536438"/>
    <n v="0.95"/>
    <n v="0.17924609276697798"/>
    <n v="1.2281277928474901"/>
    <n v="1.59735871431322"/>
    <n v="0.17924609276697798"/>
  </r>
  <r>
    <x v="0"/>
    <s v="2026-01-28 14:43:52"/>
    <n v="3"/>
    <x v="0"/>
    <x v="0"/>
    <x v="0"/>
    <n v="0.74385294251498302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3"/>
    <x v="0"/>
    <x v="1"/>
    <x v="0"/>
    <n v="0.74385294251498302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3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43:52"/>
    <n v="3"/>
    <x v="1"/>
    <x v="3"/>
    <x v="1"/>
    <n v="0.77570986128458397"/>
    <n v="2E+20"/>
    <n v="0"/>
    <n v="7"/>
    <n v="0"/>
    <n v="0"/>
    <s v="Unnamed ProjectDrilling center.QueueNumber WaitingQueue"/>
    <n v="5"/>
    <n v="0.74158510448620607"/>
    <n v="0.13427174352159918"/>
    <n v="0.95"/>
    <n v="0.16672038990681917"/>
    <n v="0.53072609053233"/>
    <n v="0.89948849873312597"/>
    <n v="0.16672038990681917"/>
  </r>
  <r>
    <x v="0"/>
    <s v="2026-01-28 14:43:52"/>
    <n v="3"/>
    <x v="2"/>
    <x v="4"/>
    <x v="2"/>
    <n v="1.5195628037995701"/>
    <n v="0.49609998205696698"/>
    <n v="0"/>
    <n v="8"/>
    <n v="0"/>
    <n v="0"/>
    <s v="Unnamed ProjectPartWIPEntity"/>
    <n v="5"/>
    <n v="1.4404589043237639"/>
    <n v="0.14435957958536438"/>
    <n v="0.95"/>
    <n v="0.17924609276697798"/>
    <n v="1.2281277928474901"/>
    <n v="1.59735871431322"/>
    <n v="0.17924609276697798"/>
  </r>
  <r>
    <x v="0"/>
    <s v="2026-01-28 14:43:52"/>
    <n v="4"/>
    <x v="0"/>
    <x v="0"/>
    <x v="0"/>
    <n v="0.69740170231515697"/>
    <n v="2E+20"/>
    <n v="0"/>
    <n v="1"/>
    <n v="1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4"/>
    <x v="0"/>
    <x v="1"/>
    <x v="0"/>
    <n v="0.69740170231515697"/>
    <n v="2E+20"/>
    <n v="0"/>
    <n v="1"/>
    <n v="1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4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43:52"/>
    <n v="4"/>
    <x v="1"/>
    <x v="3"/>
    <x v="1"/>
    <n v="0.53072609053233"/>
    <n v="2E+20"/>
    <n v="0"/>
    <n v="4"/>
    <n v="0"/>
    <n v="0"/>
    <s v="Unnamed ProjectDrilling center.QueueNumber WaitingQueue"/>
    <n v="5"/>
    <n v="0.74158510448620607"/>
    <n v="0.13427174352159918"/>
    <n v="0.95"/>
    <n v="0.16672038990681917"/>
    <n v="0.53072609053233"/>
    <n v="0.89948849873312597"/>
    <n v="0.16672038990681917"/>
  </r>
  <r>
    <x v="0"/>
    <s v="2026-01-28 14:43:52"/>
    <n v="4"/>
    <x v="2"/>
    <x v="4"/>
    <x v="2"/>
    <n v="1.2281277928474901"/>
    <n v="2E+20"/>
    <n v="0"/>
    <n v="5"/>
    <n v="1"/>
    <n v="0"/>
    <s v="Unnamed ProjectPartWIPEntity"/>
    <n v="5"/>
    <n v="1.4404589043237639"/>
    <n v="0.14435957958536438"/>
    <n v="0.95"/>
    <n v="0.17924609276697798"/>
    <n v="1.2281277928474901"/>
    <n v="1.59735871431322"/>
    <n v="0.17924609276697798"/>
  </r>
  <r>
    <x v="0"/>
    <s v="2026-01-28 14:43:52"/>
    <n v="5"/>
    <x v="0"/>
    <x v="0"/>
    <x v="0"/>
    <n v="0.71102752619758502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5"/>
    <x v="0"/>
    <x v="1"/>
    <x v="0"/>
    <n v="0.71102752619758502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4:43:52"/>
    <n v="5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43:52"/>
    <n v="5"/>
    <x v="1"/>
    <x v="3"/>
    <x v="1"/>
    <n v="0.77725695446561305"/>
    <n v="2E+20"/>
    <n v="0"/>
    <n v="7"/>
    <n v="0"/>
    <n v="0"/>
    <s v="Unnamed ProjectDrilling center.QueueNumber WaitingQueue"/>
    <n v="5"/>
    <n v="0.74158510448620607"/>
    <n v="0.13427174352159918"/>
    <n v="0.95"/>
    <n v="0.16672038990681917"/>
    <n v="0.53072609053233"/>
    <n v="0.89948849873312597"/>
    <n v="0.16672038990681917"/>
  </r>
  <r>
    <x v="0"/>
    <s v="2026-01-28 14:43:52"/>
    <n v="5"/>
    <x v="2"/>
    <x v="4"/>
    <x v="2"/>
    <n v="1.4882844806632001"/>
    <n v="0.52491951010522797"/>
    <n v="0"/>
    <n v="8"/>
    <n v="0"/>
    <n v="0"/>
    <s v="Unnamed ProjectPartWIPEntity"/>
    <n v="5"/>
    <n v="1.4404589043237639"/>
    <n v="0.14435957958536438"/>
    <n v="0.95"/>
    <n v="0.17924609276697798"/>
    <n v="1.2281277928474901"/>
    <n v="1.59735871431322"/>
    <n v="0.179246092766977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1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3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3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4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AJ1" workbookViewId="0">
      <selection activeCell="AO5" sqref="AO5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3.5449513447857379</v>
      </c>
      <c r="F3" s="5">
        <v>1</v>
      </c>
      <c r="G3" s="5">
        <v>0.84614551227484835</v>
      </c>
      <c r="H3" s="5">
        <v>0.68146093749912462</v>
      </c>
      <c r="I3" s="5">
        <v>2.5306144714124401</v>
      </c>
      <c r="J3" s="5">
        <v>4.3758899938368296</v>
      </c>
      <c r="K3" s="5">
        <v>0</v>
      </c>
      <c r="L3" s="5">
        <v>69.8036734299438</v>
      </c>
      <c r="M3" s="5">
        <v>151.19999999999999</v>
      </c>
      <c r="O3" t="s">
        <v>67</v>
      </c>
      <c r="P3" t="s">
        <v>82</v>
      </c>
      <c r="Q3" t="s">
        <v>83</v>
      </c>
      <c r="R3" t="s">
        <v>84</v>
      </c>
      <c r="S3" s="5">
        <v>0.69887379983755582</v>
      </c>
      <c r="T3" s="5">
        <v>4.4602442224415374E-2</v>
      </c>
      <c r="U3" s="5">
        <v>3.5921507178221228E-2</v>
      </c>
      <c r="V3" s="5">
        <v>0.64421661257995999</v>
      </c>
      <c r="W3" s="5">
        <v>0.74385294251498302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150.80000000000001</v>
      </c>
      <c r="AP3" s="5">
        <v>14.303408774993876</v>
      </c>
      <c r="AQ3" s="5">
        <v>11.519548602267365</v>
      </c>
      <c r="AR3" s="5">
        <v>134</v>
      </c>
      <c r="AS3" s="5">
        <v>163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150.80000000000001</v>
      </c>
      <c r="Q4" t="s">
        <v>85</v>
      </c>
      <c r="R4" t="s">
        <v>84</v>
      </c>
      <c r="S4" s="5">
        <v>0.69887379983755582</v>
      </c>
      <c r="T4" s="5">
        <v>4.4602442224415374E-2</v>
      </c>
      <c r="U4" s="5">
        <v>3.5921507178221228E-2</v>
      </c>
      <c r="V4" s="5">
        <v>0.64421661257995999</v>
      </c>
      <c r="W4" s="5">
        <v>0.74385294251498302</v>
      </c>
      <c r="X4" s="5">
        <v>0</v>
      </c>
      <c r="Y4" s="5">
        <v>1</v>
      </c>
      <c r="AL4" t="s">
        <v>89</v>
      </c>
      <c r="AM4" t="s">
        <v>90</v>
      </c>
      <c r="AN4" t="s">
        <v>84</v>
      </c>
      <c r="AO4" s="5">
        <v>151.19999999999999</v>
      </c>
      <c r="AP4" s="5">
        <v>14.195211996152123</v>
      </c>
      <c r="AQ4" s="5">
        <v>11.432410069622241</v>
      </c>
      <c r="AR4" s="5">
        <v>134</v>
      </c>
      <c r="AS4" s="5">
        <v>163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150.80000000000001</v>
      </c>
      <c r="Q5" t="s">
        <v>86</v>
      </c>
      <c r="R5" t="s">
        <v>84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84</v>
      </c>
      <c r="AO5" s="5">
        <v>0.69887379983755582</v>
      </c>
      <c r="AP5" s="5">
        <v>4.4602442224415374E-2</v>
      </c>
      <c r="AQ5" s="5">
        <v>3.5921507178221228E-2</v>
      </c>
      <c r="AR5" s="5">
        <v>0.64421661257995999</v>
      </c>
      <c r="AS5" s="5">
        <v>0.74385294251498302</v>
      </c>
    </row>
    <row r="6" spans="1:52" x14ac:dyDescent="0.25">
      <c r="C6" t="s">
        <v>78</v>
      </c>
      <c r="D6" t="s">
        <v>76</v>
      </c>
      <c r="E6" s="5">
        <v>6.8926677862689187</v>
      </c>
      <c r="F6" s="5">
        <v>1</v>
      </c>
      <c r="G6" s="5">
        <v>0.90705932465849692</v>
      </c>
      <c r="H6" s="5">
        <v>0.73051914686314634</v>
      </c>
      <c r="I6" s="5">
        <v>5.8884645155058397</v>
      </c>
      <c r="J6" s="5">
        <v>7.8098051042949397</v>
      </c>
      <c r="K6" s="5">
        <v>1.20224816547654</v>
      </c>
      <c r="L6" s="5">
        <v>73.415589978484704</v>
      </c>
      <c r="M6" s="5">
        <v>150.80000000000001</v>
      </c>
      <c r="P6" t="s">
        <v>71</v>
      </c>
      <c r="Q6" t="s">
        <v>87</v>
      </c>
      <c r="R6" t="s">
        <v>73</v>
      </c>
      <c r="S6" s="5">
        <v>0.74158510448620607</v>
      </c>
      <c r="T6" s="5">
        <v>0.16672038990681917</v>
      </c>
      <c r="U6" s="5">
        <v>0.13427174352159918</v>
      </c>
      <c r="V6" s="5">
        <v>0.53072609053233</v>
      </c>
      <c r="W6" s="5">
        <v>0.89948849873312597</v>
      </c>
      <c r="X6" s="5">
        <v>0</v>
      </c>
      <c r="Y6" s="5">
        <v>7</v>
      </c>
      <c r="AL6" t="s">
        <v>93</v>
      </c>
      <c r="AM6" t="s">
        <v>94</v>
      </c>
      <c r="AN6" t="s">
        <v>76</v>
      </c>
      <c r="AO6" s="5">
        <v>151.19999999999999</v>
      </c>
      <c r="AP6" s="5">
        <v>14.195211996152123</v>
      </c>
      <c r="AQ6" s="5">
        <v>11.432410069622241</v>
      </c>
      <c r="AR6" s="5">
        <v>134</v>
      </c>
      <c r="AS6" s="5">
        <v>163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150.80000000000001</v>
      </c>
      <c r="P7" t="s">
        <v>74</v>
      </c>
      <c r="Q7" t="s">
        <v>88</v>
      </c>
      <c r="R7" t="s">
        <v>76</v>
      </c>
      <c r="S7" s="5">
        <v>1.4404589043237639</v>
      </c>
      <c r="T7" s="5">
        <v>0.17924609276697798</v>
      </c>
      <c r="U7" s="5">
        <v>0.14435957958536438</v>
      </c>
      <c r="V7" s="5">
        <v>1.2281277928474901</v>
      </c>
      <c r="W7" s="5">
        <v>1.59735871431322</v>
      </c>
      <c r="X7" s="5">
        <v>0</v>
      </c>
      <c r="Y7" s="5">
        <v>8</v>
      </c>
      <c r="AL7" t="s">
        <v>95</v>
      </c>
      <c r="AM7" t="s">
        <v>96</v>
      </c>
      <c r="AN7" t="s">
        <v>76</v>
      </c>
      <c r="AO7" s="5">
        <v>150.80000000000001</v>
      </c>
      <c r="AP7" s="5">
        <v>14.303408774993876</v>
      </c>
      <c r="AQ7" s="5">
        <v>11.519548602267365</v>
      </c>
      <c r="AR7" s="5">
        <v>134</v>
      </c>
      <c r="AS7" s="5">
        <v>163</v>
      </c>
    </row>
    <row r="8" spans="1:52" x14ac:dyDescent="0.25">
      <c r="C8" t="s">
        <v>80</v>
      </c>
      <c r="D8" t="s">
        <v>76</v>
      </c>
      <c r="E8" s="5">
        <v>3.3394188832465064</v>
      </c>
      <c r="F8" s="5">
        <v>1</v>
      </c>
      <c r="G8" s="5">
        <v>0.12655606227406943</v>
      </c>
      <c r="H8" s="5">
        <v>0.1019245645014674</v>
      </c>
      <c r="I8" s="5">
        <v>3.1996238678891298</v>
      </c>
      <c r="J8" s="5">
        <v>3.4614623959520299</v>
      </c>
      <c r="K8" s="5">
        <v>1.1759604867906399</v>
      </c>
      <c r="L8" s="5">
        <v>5.93193265422937</v>
      </c>
      <c r="M8" s="5">
        <v>150.80000000000001</v>
      </c>
    </row>
    <row r="9" spans="1:52" x14ac:dyDescent="0.25">
      <c r="C9" t="s">
        <v>81</v>
      </c>
      <c r="D9" t="s">
        <v>76</v>
      </c>
      <c r="E9" s="5">
        <v>3.5532489030224141</v>
      </c>
      <c r="F9" s="5">
        <v>1</v>
      </c>
      <c r="G9" s="5">
        <v>0.85213127244856335</v>
      </c>
      <c r="H9" s="5">
        <v>0.68628169430803121</v>
      </c>
      <c r="I9" s="5">
        <v>2.5423343034540702</v>
      </c>
      <c r="J9" s="5">
        <v>4.4056579529785802</v>
      </c>
      <c r="K9" s="5">
        <v>0</v>
      </c>
      <c r="L9" s="5">
        <v>69.8036734299438</v>
      </c>
      <c r="M9" s="5">
        <v>150.80000000000001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3.8941474965602301</v>
      </c>
      <c r="H2">
        <v>2E+20</v>
      </c>
      <c r="I2">
        <v>0</v>
      </c>
      <c r="J2">
        <v>68.223451210839002</v>
      </c>
      <c r="K2">
        <v>134</v>
      </c>
      <c r="L2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3.5449513447857379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0.68146093749912462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0.84614551227484835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2.5306144714124401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4.3758899938368296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69.8036734299438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2">
        <f>IF((DiscreteStatsTable[[#This Row],[RepsRequested]]&gt;1),DiscreteStatsTable[[#This Row],[HalfWidth]],DiscreteStatsTable[[#This Row],[BatchMeansHalfWidth]])</f>
        <v>0.84614551227484835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4.3758899938368296</v>
      </c>
      <c r="H3">
        <v>2E+20</v>
      </c>
      <c r="I3">
        <v>0</v>
      </c>
      <c r="J3">
        <v>55.979878383664499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3.5449513447857379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0.68146093749912462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0.84614551227484835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2.5306144714124401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4.3758899938368296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69.8036734299438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3">
        <f>IF((DiscreteStatsTable[[#This Row],[RepsRequested]]&gt;1),DiscreteStatsTable[[#This Row],[HalfWidth]],DiscreteStatsTable[[#This Row],[BatchMeansHalfWidth]])</f>
        <v>0.84614551227484835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3.4264484670239299</v>
      </c>
      <c r="H4">
        <v>2E+20</v>
      </c>
      <c r="I4">
        <v>0</v>
      </c>
      <c r="J4">
        <v>61.404409265945098</v>
      </c>
      <c r="K4">
        <v>163</v>
      </c>
      <c r="L4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3.5449513447857379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0.68146093749912462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0.84614551227484835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2.5306144714124401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4.3758899938368296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69.8036734299438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4">
        <f>IF((DiscreteStatsTable[[#This Row],[RepsRequested]]&gt;1),DiscreteStatsTable[[#This Row],[HalfWidth]],DiscreteStatsTable[[#This Row],[BatchMeansHalfWidth]])</f>
        <v>0.84614551227484835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2.5306144714124401</v>
      </c>
      <c r="H5">
        <v>2E+20</v>
      </c>
      <c r="I5">
        <v>0</v>
      </c>
      <c r="J5">
        <v>32.897679208346197</v>
      </c>
      <c r="K5">
        <v>151</v>
      </c>
      <c r="L5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3.5449513447857379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0.68146093749912462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0.84614551227484835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2.5306144714124401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4.3758899938368296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69.8036734299438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5">
        <f>IF((DiscreteStatsTable[[#This Row],[RepsRequested]]&gt;1),DiscreteStatsTable[[#This Row],[HalfWidth]],DiscreteStatsTable[[#This Row],[BatchMeansHalfWidth]])</f>
        <v>0.84614551227484835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3.4976562950952599</v>
      </c>
      <c r="H6">
        <v>2E+20</v>
      </c>
      <c r="I6">
        <v>0</v>
      </c>
      <c r="J6">
        <v>69.8036734299438</v>
      </c>
      <c r="K6">
        <v>160</v>
      </c>
      <c r="L6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3.5449513447857379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0.68146093749912462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0.84614551227484835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2.5306144714124401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4.3758899938368296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69.8036734299438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6">
        <f>IF((DiscreteStatsTable[[#This Row],[RepsRequested]]&gt;1),DiscreteStatsTable[[#This Row],[HalfWidth]],DiscreteStatsTable[[#This Row],[BatchMeansHalfWidth]])</f>
        <v>0.84614551227484835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134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134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7.3556098925122599</v>
      </c>
      <c r="H9">
        <v>2E+20</v>
      </c>
      <c r="I9">
        <v>1.4049202988909999</v>
      </c>
      <c r="J9">
        <v>73.415589978484704</v>
      </c>
      <c r="K9">
        <v>134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6.8926677862689187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0.73051914686314634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0.90705932465849692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5.8884645155058397</v>
      </c>
      <c r="S9" cm="1">
        <f t="array" ref="S9">MAX(IF((DiscreteStatsTable[GroupByKey]=DiscreteStatsTable[[#This Row],[GroupByKey]]),(DiscreteStatsTable[GroupByKey]=DiscreteStatsTable[[#This Row],[GroupByKey]])*DiscreteStatsTable[Average]))</f>
        <v>7.8098051042949397</v>
      </c>
      <c r="T9" cm="1">
        <f t="array" ref="T9">MIN(IF((DiscreteStatsTable[GroupByKey]=DiscreteStatsTable[[#This Row],[GroupByKey]]),(DiscreteStatsTable[GroupByKey]=DiscreteStatsTable[[#This Row],[GroupByKey]])*DiscreteStatsTable[Minimum]))</f>
        <v>1.20224816547654</v>
      </c>
      <c r="U9" cm="1">
        <f t="array" ref="U9">MAX(IF((DiscreteStatsTable[GroupByKey]=DiscreteStatsTable[[#This Row],[GroupByKey]]),(DiscreteStatsTable[GroupByKey]=DiscreteStatsTable[[#This Row],[GroupByKey]])*DiscreteStatsTable[Maximum]))</f>
        <v>73.415589978484704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9">
        <f>IF((DiscreteStatsTable[[#This Row],[RepsRequested]]&gt;1),DiscreteStatsTable[[#This Row],[HalfWidth]],DiscreteStatsTable[[#This Row],[BatchMeansHalfWidth]])</f>
        <v>0.90705932465849692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134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3.4614623959520299</v>
      </c>
      <c r="H11">
        <v>2E+20</v>
      </c>
      <c r="I11">
        <v>1.1759604867906399</v>
      </c>
      <c r="J11">
        <v>5.7047388640940504</v>
      </c>
      <c r="K11">
        <v>134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3.3394188832465064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0.1019245645014674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0.12655606227406943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3.1996238678891298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3.4614623959520299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1.1759604867906399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5.93193265422937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1">
        <f>IF((DiscreteStatsTable[[#This Row],[RepsRequested]]&gt;1),DiscreteStatsTable[[#This Row],[HalfWidth]],DiscreteStatsTable[[#This Row],[BatchMeansHalfWidth]])</f>
        <v>0.12655606227406943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3.8941474965602301</v>
      </c>
      <c r="H12">
        <v>2E+20</v>
      </c>
      <c r="I12">
        <v>0</v>
      </c>
      <c r="J12">
        <v>68.223451210839002</v>
      </c>
      <c r="K12">
        <v>134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3.5532489030224141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0.68628169430803121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0.85213127244856335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2.5423343034540702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4.4056579529785802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69.8036734299438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2">
        <f>IF((DiscreteStatsTable[[#This Row],[RepsRequested]]&gt;1),DiscreteStatsTable[[#This Row],[HalfWidth]],DiscreteStatsTable[[#This Row],[BatchMeansHalfWidth]])</f>
        <v>0.85213127244856335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147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0</v>
      </c>
      <c r="H14">
        <v>2E+20</v>
      </c>
      <c r="I14">
        <v>0</v>
      </c>
      <c r="J14">
        <v>0</v>
      </c>
      <c r="K14">
        <v>147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7.8098051042949397</v>
      </c>
      <c r="H15">
        <v>2E+20</v>
      </c>
      <c r="I15">
        <v>1.5132872749330799</v>
      </c>
      <c r="J15">
        <v>59.594977745774599</v>
      </c>
      <c r="K15">
        <v>147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6.8926677862689187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0.73051914686314634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0.90705932465849692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5.8884645155058397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7.8098051042949397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1.20224816547654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73.415589978484704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5">
        <f>IF((DiscreteStatsTable[[#This Row],[RepsRequested]]&gt;1),DiscreteStatsTable[[#This Row],[HalfWidth]],DiscreteStatsTable[[#This Row],[BatchMeansHalfWidth]])</f>
        <v>0.90705932465849692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147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3.4041471513163599</v>
      </c>
      <c r="H17">
        <v>2E+20</v>
      </c>
      <c r="I17">
        <v>1.3095160077258501</v>
      </c>
      <c r="J17">
        <v>5.93193265422937</v>
      </c>
      <c r="K17">
        <v>147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3.3394188832465064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0.1019245645014674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0.12655606227406943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3.1996238678891298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3.4614623959520299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1.1759604867906399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5.93193265422937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7">
        <f>IF((DiscreteStatsTable[[#This Row],[RepsRequested]]&gt;1),DiscreteStatsTable[[#This Row],[HalfWidth]],DiscreteStatsTable[[#This Row],[BatchMeansHalfWidth]])</f>
        <v>0.12655606227406943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4.4056579529785802</v>
      </c>
      <c r="H18">
        <v>2E+20</v>
      </c>
      <c r="I18">
        <v>0</v>
      </c>
      <c r="J18">
        <v>55.979878383664499</v>
      </c>
      <c r="K18">
        <v>147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3.5532489030224141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0.68628169430803121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0.85213127244856335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2.5423343034540702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4.4056579529785802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69.8036734299438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8">
        <f>IF((DiscreteStatsTable[[#This Row],[RepsRequested]]&gt;1),DiscreteStatsTable[[#This Row],[HalfWidth]],DiscreteStatsTable[[#This Row],[BatchMeansHalfWidth]])</f>
        <v>0.85213127244856335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163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0</v>
      </c>
      <c r="H20">
        <v>2E+20</v>
      </c>
      <c r="I20">
        <v>0</v>
      </c>
      <c r="J20">
        <v>0</v>
      </c>
      <c r="K20">
        <v>163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6.7121792560471603</v>
      </c>
      <c r="H21">
        <v>2E+20</v>
      </c>
      <c r="I21">
        <v>1.20224816547654</v>
      </c>
      <c r="J21">
        <v>64.713752893981095</v>
      </c>
      <c r="K21">
        <v>163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6.8926677862689187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0.73051914686314634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0.90705932465849692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5.8884645155058397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7.8098051042949397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1.20224816547654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73.415589978484704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1">
        <f>IF((DiscreteStatsTable[[#This Row],[RepsRequested]]&gt;1),DiscreteStatsTable[[#This Row],[HalfWidth]],DiscreteStatsTable[[#This Row],[BatchMeansHalfWidth]])</f>
        <v>0.90705932465849692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163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3.2857307890232299</v>
      </c>
      <c r="H23">
        <v>2E+20</v>
      </c>
      <c r="I23">
        <v>1.20224816547654</v>
      </c>
      <c r="J23">
        <v>5.87560159263501</v>
      </c>
      <c r="K23">
        <v>163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3.3394188832465064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0.1019245645014674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0.12655606227406943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3.1996238678891298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3.4614623959520299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1.1759604867906399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5.93193265422937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3">
        <f>IF((DiscreteStatsTable[[#This Row],[RepsRequested]]&gt;1),DiscreteStatsTable[[#This Row],[HalfWidth]],DiscreteStatsTable[[#This Row],[BatchMeansHalfWidth]])</f>
        <v>0.12655606227406943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3.4264484670239299</v>
      </c>
      <c r="H24">
        <v>2E+20</v>
      </c>
      <c r="I24">
        <v>0</v>
      </c>
      <c r="J24">
        <v>61.404409265945098</v>
      </c>
      <c r="K24">
        <v>163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3.5532489030224141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0.68628169430803121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0.85213127244856335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2.5423343034540702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4.4056579529785802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69.8036734299438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4">
        <f>IF((DiscreteStatsTable[[#This Row],[RepsRequested]]&gt;1),DiscreteStatsTable[[#This Row],[HalfWidth]],DiscreteStatsTable[[#This Row],[BatchMeansHalfWidth]])</f>
        <v>0.85213127244856335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150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150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5.8884645155058397</v>
      </c>
      <c r="H27">
        <v>2E+20</v>
      </c>
      <c r="I27">
        <v>1.2139916806486899</v>
      </c>
      <c r="J27">
        <v>36.616228289995199</v>
      </c>
      <c r="K27">
        <v>150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6.8926677862689187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0.73051914686314634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0.90705932465849692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5.8884645155058397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7.8098051042949397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1.20224816547654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73.415589978484704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7">
        <f>IF((DiscreteStatsTable[[#This Row],[RepsRequested]]&gt;1),DiscreteStatsTable[[#This Row],[HalfWidth]],DiscreteStatsTable[[#This Row],[BatchMeansHalfWidth]])</f>
        <v>0.90705932465849692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150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3.3461302120517802</v>
      </c>
      <c r="H29">
        <v>2E+20</v>
      </c>
      <c r="I29">
        <v>1.2139916806486899</v>
      </c>
      <c r="J29">
        <v>5.7165605109972599</v>
      </c>
      <c r="K29">
        <v>150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3.3394188832465064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0.1019245645014674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0.12655606227406943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3.1996238678891298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3.4614623959520299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1.1759604867906399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5.93193265422937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9">
        <f>IF((DiscreteStatsTable[[#This Row],[RepsRequested]]&gt;1),DiscreteStatsTable[[#This Row],[HalfWidth]],DiscreteStatsTable[[#This Row],[BatchMeansHalfWidth]])</f>
        <v>0.12655606227406943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2.5423343034540702</v>
      </c>
      <c r="H30">
        <v>2E+20</v>
      </c>
      <c r="I30">
        <v>0</v>
      </c>
      <c r="J30">
        <v>32.897679208346197</v>
      </c>
      <c r="K30">
        <v>150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3.5532489030224141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0.68628169430803121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0.85213127244856335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2.5423343034540702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4.4056579529785802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69.8036734299438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0">
        <f>IF((DiscreteStatsTable[[#This Row],[RepsRequested]]&gt;1),DiscreteStatsTable[[#This Row],[HalfWidth]],DiscreteStatsTable[[#This Row],[BatchMeansHalfWidth]])</f>
        <v>0.85213127244856335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160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160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6.6972801629843897</v>
      </c>
      <c r="H33">
        <v>2E+20</v>
      </c>
      <c r="I33">
        <v>1.22324648767889</v>
      </c>
      <c r="J33">
        <v>73.377078213776102</v>
      </c>
      <c r="K33">
        <v>160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6.8926677862689187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0.73051914686314634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0.90705932465849692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5.8884645155058397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7.8098051042949397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1.20224816547654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73.415589978484704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3">
        <f>IF((DiscreteStatsTable[[#This Row],[RepsRequested]]&gt;1),DiscreteStatsTable[[#This Row],[HalfWidth]],DiscreteStatsTable[[#This Row],[BatchMeansHalfWidth]])</f>
        <v>0.90705932465849692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160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3.1996238678891298</v>
      </c>
      <c r="H35">
        <v>2E+20</v>
      </c>
      <c r="I35">
        <v>1.22324648767889</v>
      </c>
      <c r="J35">
        <v>5.7533987200526999</v>
      </c>
      <c r="K35">
        <v>160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3.3394188832465064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0.1019245645014674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0.12655606227406943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3.1996238678891298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3.4614623959520299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1.1759604867906399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5.93193265422937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5">
        <f>IF((DiscreteStatsTable[[#This Row],[RepsRequested]]&gt;1),DiscreteStatsTable[[#This Row],[HalfWidth]],DiscreteStatsTable[[#This Row],[BatchMeansHalfWidth]])</f>
        <v>0.12655606227406943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3.4976562950952599</v>
      </c>
      <c r="H36">
        <v>2E+20</v>
      </c>
      <c r="I36">
        <v>0</v>
      </c>
      <c r="J36">
        <v>69.8036734299438</v>
      </c>
      <c r="K36">
        <v>160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3.5532489030224141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0.68628169430803121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0.85213127244856335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2.5423343034540702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4.4056579529785802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69.8036734299438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6">
        <f>IF((DiscreteStatsTable[[#This Row],[RepsRequested]]&gt;1),DiscreteStatsTable[[#This Row],[HalfWidth]],DiscreteStatsTable[[#This Row],[BatchMeansHalfWidth]])</f>
        <v>0.85213127244856335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0.64421661257995999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0.64421661257995999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0.74385294251498302</v>
      </c>
      <c r="U2">
        <f>IF((ContinuousStatsTable[[#This Row],[RepsRequested]]&gt;1),ContinuousStatsTable[[#This Row],[HalfWidth]],ContinuousStatsTable[[#This Row],[BatchMeansHalfWidth]])</f>
        <v>4.4602442224415374E-2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0.64421661257995999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0.64421661257995999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0.74385294251498302</v>
      </c>
      <c r="U3">
        <f>IF((ContinuousStatsTable[[#This Row],[RepsRequested]]&gt;1),ContinuousStatsTable[[#This Row],[HalfWidth]],ContinuousStatsTable[[#This Row],[BatchMeansHalfWidth]])</f>
        <v>4.4602442224415374E-2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0.72474411741537703</v>
      </c>
      <c r="H5">
        <v>2E+20</v>
      </c>
      <c r="I5">
        <v>0</v>
      </c>
      <c r="J5">
        <v>6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0.74158510448620607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0.13427174352159918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0.16672038990681917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0.53072609053233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0.89948849873312597</v>
      </c>
      <c r="U5">
        <f>IF((ContinuousStatsTable[[#This Row],[RepsRequested]]&gt;1),ContinuousStatsTable[[#This Row],[HalfWidth]],ContinuousStatsTable[[#This Row],[BatchMeansHalfWidth]])</f>
        <v>0.16672038990681917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1.3689607299953399</v>
      </c>
      <c r="H6">
        <v>2E+20</v>
      </c>
      <c r="I6">
        <v>0</v>
      </c>
      <c r="J6">
        <v>7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1.4404589043237639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0.14435957958536438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0.17924609276697798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1.2281277928474901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1.59735871431322</v>
      </c>
      <c r="U6">
        <f>IF((ContinuousStatsTable[[#This Row],[RepsRequested]]&gt;1),ContinuousStatsTable[[#This Row],[HalfWidth]],ContinuousStatsTable[[#This Row],[BatchMeansHalfWidth]])</f>
        <v>0.17924609276697798</v>
      </c>
    </row>
    <row r="7" spans="1:21" x14ac:dyDescent="0.25">
      <c r="A7" t="s">
        <v>67</v>
      </c>
      <c r="B7" t="s">
        <v>70</v>
      </c>
      <c r="C7">
        <v>2</v>
      </c>
      <c r="D7" t="s">
        <v>82</v>
      </c>
      <c r="E7" t="s">
        <v>83</v>
      </c>
      <c r="F7" t="s">
        <v>84</v>
      </c>
      <c r="G7">
        <v>0.69787021558009399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0.64421661257995999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0.74385294251498302</v>
      </c>
      <c r="U7">
        <f>IF((ContinuousStatsTable[[#This Row],[RepsRequested]]&gt;1),ContinuousStatsTable[[#This Row],[HalfWidth]],ContinuousStatsTable[[#This Row],[BatchMeansHalfWidth]])</f>
        <v>4.4602442224415374E-2</v>
      </c>
    </row>
    <row r="8" spans="1:21" x14ac:dyDescent="0.25">
      <c r="A8" t="s">
        <v>67</v>
      </c>
      <c r="B8" t="s">
        <v>70</v>
      </c>
      <c r="C8">
        <v>2</v>
      </c>
      <c r="D8" t="s">
        <v>82</v>
      </c>
      <c r="E8" t="s">
        <v>85</v>
      </c>
      <c r="F8" t="s">
        <v>84</v>
      </c>
      <c r="G8">
        <v>0.69787021558009399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0.64421661257995999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0.74385294251498302</v>
      </c>
      <c r="U8">
        <f>IF((ContinuousStatsTable[[#This Row],[RepsRequested]]&gt;1),ContinuousStatsTable[[#This Row],[HalfWidth]],ContinuousStatsTable[[#This Row],[BatchMeansHalfWidth]])</f>
        <v>4.4602442224415374E-2</v>
      </c>
    </row>
    <row r="9" spans="1:21" x14ac:dyDescent="0.25">
      <c r="A9" t="s">
        <v>67</v>
      </c>
      <c r="B9" t="s">
        <v>70</v>
      </c>
      <c r="C9">
        <v>2</v>
      </c>
      <c r="D9" t="s">
        <v>82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2</v>
      </c>
      <c r="D10" t="s">
        <v>71</v>
      </c>
      <c r="E10" t="s">
        <v>87</v>
      </c>
      <c r="F10" t="s">
        <v>73</v>
      </c>
      <c r="G10">
        <v>0.89948849873312597</v>
      </c>
      <c r="H10">
        <v>2E+20</v>
      </c>
      <c r="I10">
        <v>0</v>
      </c>
      <c r="J10">
        <v>5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0.74158510448620607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0.13427174352159918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0.16672038990681917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0.53072609053233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0.89948849873312597</v>
      </c>
      <c r="U10">
        <f>IF((ContinuousStatsTable[[#This Row],[RepsRequested]]&gt;1),ContinuousStatsTable[[#This Row],[HalfWidth]],ContinuousStatsTable[[#This Row],[BatchMeansHalfWidth]])</f>
        <v>0.16672038990681917</v>
      </c>
    </row>
    <row r="11" spans="1:21" x14ac:dyDescent="0.25">
      <c r="A11" t="s">
        <v>67</v>
      </c>
      <c r="B11" t="s">
        <v>70</v>
      </c>
      <c r="C11">
        <v>2</v>
      </c>
      <c r="D11" t="s">
        <v>74</v>
      </c>
      <c r="E11" t="s">
        <v>88</v>
      </c>
      <c r="F11" t="s">
        <v>76</v>
      </c>
      <c r="G11">
        <v>1.59735871431322</v>
      </c>
      <c r="H11">
        <v>2E+20</v>
      </c>
      <c r="I11">
        <v>0</v>
      </c>
      <c r="J11">
        <v>6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1.4404589043237639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0.14435957958536438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0.17924609276697798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1.2281277928474901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1.59735871431322</v>
      </c>
      <c r="U11">
        <f>IF((ContinuousStatsTable[[#This Row],[RepsRequested]]&gt;1),ContinuousStatsTable[[#This Row],[HalfWidth]],ContinuousStatsTable[[#This Row],[BatchMeansHalfWidth]])</f>
        <v>0.17924609276697798</v>
      </c>
    </row>
    <row r="12" spans="1:21" x14ac:dyDescent="0.25">
      <c r="A12" t="s">
        <v>67</v>
      </c>
      <c r="B12" t="s">
        <v>70</v>
      </c>
      <c r="C12">
        <v>3</v>
      </c>
      <c r="D12" t="s">
        <v>82</v>
      </c>
      <c r="E12" t="s">
        <v>83</v>
      </c>
      <c r="F12" t="s">
        <v>84</v>
      </c>
      <c r="G12">
        <v>0.74385294251498302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0.64421661257995999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0.74385294251498302</v>
      </c>
      <c r="U12" s="5">
        <f>IF((ContinuousStatsTable[[#This Row],[RepsRequested]]&gt;1),ContinuousStatsTable[[#This Row],[HalfWidth]],ContinuousStatsTable[[#This Row],[BatchMeansHalfWidth]])</f>
        <v>4.4602442224415374E-2</v>
      </c>
    </row>
    <row r="13" spans="1:21" x14ac:dyDescent="0.25">
      <c r="A13" t="s">
        <v>67</v>
      </c>
      <c r="B13" t="s">
        <v>70</v>
      </c>
      <c r="C13">
        <v>3</v>
      </c>
      <c r="D13" t="s">
        <v>82</v>
      </c>
      <c r="E13" t="s">
        <v>85</v>
      </c>
      <c r="F13" t="s">
        <v>84</v>
      </c>
      <c r="G13">
        <v>0.74385294251498302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0.64421661257995999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0.74385294251498302</v>
      </c>
      <c r="U13" s="5">
        <f>IF((ContinuousStatsTable[[#This Row],[RepsRequested]]&gt;1),ContinuousStatsTable[[#This Row],[HalfWidth]],ContinuousStatsTable[[#This Row],[BatchMeansHalfWidth]])</f>
        <v>4.4602442224415374E-2</v>
      </c>
    </row>
    <row r="14" spans="1:21" x14ac:dyDescent="0.25">
      <c r="A14" t="s">
        <v>67</v>
      </c>
      <c r="B14" t="s">
        <v>70</v>
      </c>
      <c r="C14">
        <v>3</v>
      </c>
      <c r="D14" t="s">
        <v>82</v>
      </c>
      <c r="E14" t="s">
        <v>86</v>
      </c>
      <c r="F14" t="s">
        <v>84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3</v>
      </c>
      <c r="D15" t="s">
        <v>71</v>
      </c>
      <c r="E15" t="s">
        <v>87</v>
      </c>
      <c r="F15" t="s">
        <v>73</v>
      </c>
      <c r="G15">
        <v>0.77570986128458397</v>
      </c>
      <c r="H15">
        <v>2E+20</v>
      </c>
      <c r="I15">
        <v>0</v>
      </c>
      <c r="J15">
        <v>7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0.74158510448620607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0.13427174352159918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0.16672038990681917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0.53072609053233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0.89948849873312597</v>
      </c>
      <c r="U15" s="5">
        <f>IF((ContinuousStatsTable[[#This Row],[RepsRequested]]&gt;1),ContinuousStatsTable[[#This Row],[HalfWidth]],ContinuousStatsTable[[#This Row],[BatchMeansHalfWidth]])</f>
        <v>0.16672038990681917</v>
      </c>
    </row>
    <row r="16" spans="1:21" x14ac:dyDescent="0.25">
      <c r="A16" t="s">
        <v>67</v>
      </c>
      <c r="B16" t="s">
        <v>70</v>
      </c>
      <c r="C16">
        <v>3</v>
      </c>
      <c r="D16" t="s">
        <v>74</v>
      </c>
      <c r="E16" t="s">
        <v>88</v>
      </c>
      <c r="F16" t="s">
        <v>76</v>
      </c>
      <c r="G16">
        <v>1.5195628037995701</v>
      </c>
      <c r="H16">
        <v>0.49609998205696698</v>
      </c>
      <c r="I16">
        <v>0</v>
      </c>
      <c r="J16">
        <v>8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1.4404589043237639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0.14435957958536438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0.17924609276697798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1.2281277928474901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1.59735871431322</v>
      </c>
      <c r="U16" s="5">
        <f>IF((ContinuousStatsTable[[#This Row],[RepsRequested]]&gt;1),ContinuousStatsTable[[#This Row],[HalfWidth]],ContinuousStatsTable[[#This Row],[BatchMeansHalfWidth]])</f>
        <v>0.17924609276697798</v>
      </c>
    </row>
    <row r="17" spans="1:21" x14ac:dyDescent="0.25">
      <c r="A17" t="s">
        <v>67</v>
      </c>
      <c r="B17" t="s">
        <v>70</v>
      </c>
      <c r="C17">
        <v>4</v>
      </c>
      <c r="D17" t="s">
        <v>82</v>
      </c>
      <c r="E17" t="s">
        <v>83</v>
      </c>
      <c r="F17" t="s">
        <v>84</v>
      </c>
      <c r="G17">
        <v>0.69740170231515697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0.64421661257995999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0.74385294251498302</v>
      </c>
      <c r="U17" s="5">
        <f>IF((ContinuousStatsTable[[#This Row],[RepsRequested]]&gt;1),ContinuousStatsTable[[#This Row],[HalfWidth]],ContinuousStatsTable[[#This Row],[BatchMeansHalfWidth]])</f>
        <v>4.4602442224415374E-2</v>
      </c>
    </row>
    <row r="18" spans="1:21" x14ac:dyDescent="0.25">
      <c r="A18" t="s">
        <v>67</v>
      </c>
      <c r="B18" t="s">
        <v>70</v>
      </c>
      <c r="C18">
        <v>4</v>
      </c>
      <c r="D18" t="s">
        <v>82</v>
      </c>
      <c r="E18" t="s">
        <v>85</v>
      </c>
      <c r="F18" t="s">
        <v>84</v>
      </c>
      <c r="G18">
        <v>0.69740170231515697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0.64421661257995999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0.74385294251498302</v>
      </c>
      <c r="U18" s="5">
        <f>IF((ContinuousStatsTable[[#This Row],[RepsRequested]]&gt;1),ContinuousStatsTable[[#This Row],[HalfWidth]],ContinuousStatsTable[[#This Row],[BatchMeansHalfWidth]])</f>
        <v>4.4602442224415374E-2</v>
      </c>
    </row>
    <row r="19" spans="1:21" x14ac:dyDescent="0.25">
      <c r="A19" t="s">
        <v>67</v>
      </c>
      <c r="B19" t="s">
        <v>70</v>
      </c>
      <c r="C19">
        <v>4</v>
      </c>
      <c r="D19" t="s">
        <v>82</v>
      </c>
      <c r="E19" t="s">
        <v>86</v>
      </c>
      <c r="F19" t="s">
        <v>84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70</v>
      </c>
      <c r="C20">
        <v>4</v>
      </c>
      <c r="D20" t="s">
        <v>71</v>
      </c>
      <c r="E20" t="s">
        <v>87</v>
      </c>
      <c r="F20" t="s">
        <v>73</v>
      </c>
      <c r="G20">
        <v>0.53072609053233</v>
      </c>
      <c r="H20">
        <v>2E+20</v>
      </c>
      <c r="I20">
        <v>0</v>
      </c>
      <c r="J20">
        <v>4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0.74158510448620607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0.13427174352159918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0.16672038990681917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0.53072609053233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0.89948849873312597</v>
      </c>
      <c r="U20" s="5">
        <f>IF((ContinuousStatsTable[[#This Row],[RepsRequested]]&gt;1),ContinuousStatsTable[[#This Row],[HalfWidth]],ContinuousStatsTable[[#This Row],[BatchMeansHalfWidth]])</f>
        <v>0.16672038990681917</v>
      </c>
    </row>
    <row r="21" spans="1:21" x14ac:dyDescent="0.25">
      <c r="A21" t="s">
        <v>67</v>
      </c>
      <c r="B21" t="s">
        <v>70</v>
      </c>
      <c r="C21">
        <v>4</v>
      </c>
      <c r="D21" t="s">
        <v>74</v>
      </c>
      <c r="E21" t="s">
        <v>88</v>
      </c>
      <c r="F21" t="s">
        <v>76</v>
      </c>
      <c r="G21">
        <v>1.2281277928474901</v>
      </c>
      <c r="H21">
        <v>2E+20</v>
      </c>
      <c r="I21">
        <v>0</v>
      </c>
      <c r="J21">
        <v>5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1.4404589043237639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0.14435957958536438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0.17924609276697798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1.2281277928474901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1.59735871431322</v>
      </c>
      <c r="U21" s="5">
        <f>IF((ContinuousStatsTable[[#This Row],[RepsRequested]]&gt;1),ContinuousStatsTable[[#This Row],[HalfWidth]],ContinuousStatsTable[[#This Row],[BatchMeansHalfWidth]])</f>
        <v>0.17924609276697798</v>
      </c>
    </row>
    <row r="22" spans="1:21" x14ac:dyDescent="0.25">
      <c r="A22" t="s">
        <v>67</v>
      </c>
      <c r="B22" t="s">
        <v>70</v>
      </c>
      <c r="C22">
        <v>5</v>
      </c>
      <c r="D22" t="s">
        <v>82</v>
      </c>
      <c r="E22" t="s">
        <v>83</v>
      </c>
      <c r="F22" t="s">
        <v>84</v>
      </c>
      <c r="G22">
        <v>0.71102752619758502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0.64421661257995999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0.74385294251498302</v>
      </c>
      <c r="U22" s="5">
        <f>IF((ContinuousStatsTable[[#This Row],[RepsRequested]]&gt;1),ContinuousStatsTable[[#This Row],[HalfWidth]],ContinuousStatsTable[[#This Row],[BatchMeansHalfWidth]])</f>
        <v>4.4602442224415374E-2</v>
      </c>
    </row>
    <row r="23" spans="1:21" x14ac:dyDescent="0.25">
      <c r="A23" t="s">
        <v>67</v>
      </c>
      <c r="B23" t="s">
        <v>70</v>
      </c>
      <c r="C23">
        <v>5</v>
      </c>
      <c r="D23" t="s">
        <v>82</v>
      </c>
      <c r="E23" t="s">
        <v>85</v>
      </c>
      <c r="F23" t="s">
        <v>84</v>
      </c>
      <c r="G23">
        <v>0.71102752619758502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0.64421661257995999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0.74385294251498302</v>
      </c>
      <c r="U23" s="5">
        <f>IF((ContinuousStatsTable[[#This Row],[RepsRequested]]&gt;1),ContinuousStatsTable[[#This Row],[HalfWidth]],ContinuousStatsTable[[#This Row],[BatchMeansHalfWidth]])</f>
        <v>4.4602442224415374E-2</v>
      </c>
    </row>
    <row r="24" spans="1:21" x14ac:dyDescent="0.25">
      <c r="A24" t="s">
        <v>67</v>
      </c>
      <c r="B24" t="s">
        <v>70</v>
      </c>
      <c r="C24">
        <v>5</v>
      </c>
      <c r="D24" t="s">
        <v>82</v>
      </c>
      <c r="E24" t="s">
        <v>86</v>
      </c>
      <c r="F24" t="s">
        <v>84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5</v>
      </c>
      <c r="D25" t="s">
        <v>71</v>
      </c>
      <c r="E25" t="s">
        <v>87</v>
      </c>
      <c r="F25" t="s">
        <v>73</v>
      </c>
      <c r="G25">
        <v>0.77725695446561305</v>
      </c>
      <c r="H25">
        <v>2E+20</v>
      </c>
      <c r="I25">
        <v>0</v>
      </c>
      <c r="J25">
        <v>7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0.74158510448620607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0.13427174352159918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0.16672038990681917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0.53072609053233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0.89948849873312597</v>
      </c>
      <c r="U25" s="5">
        <f>IF((ContinuousStatsTable[[#This Row],[RepsRequested]]&gt;1),ContinuousStatsTable[[#This Row],[HalfWidth]],ContinuousStatsTable[[#This Row],[BatchMeansHalfWidth]])</f>
        <v>0.16672038990681917</v>
      </c>
    </row>
    <row r="26" spans="1:21" x14ac:dyDescent="0.25">
      <c r="A26" t="s">
        <v>67</v>
      </c>
      <c r="B26" t="s">
        <v>70</v>
      </c>
      <c r="C26">
        <v>5</v>
      </c>
      <c r="D26" t="s">
        <v>74</v>
      </c>
      <c r="E26" t="s">
        <v>88</v>
      </c>
      <c r="F26" t="s">
        <v>76</v>
      </c>
      <c r="G26">
        <v>1.4882844806632001</v>
      </c>
      <c r="H26">
        <v>0.52491951010522797</v>
      </c>
      <c r="I26">
        <v>0</v>
      </c>
      <c r="J26">
        <v>8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1.4404589043237639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0.14435957958536438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0.17924609276697798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1.2281277928474901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1.59735871431322</v>
      </c>
      <c r="U26" s="5">
        <f>IF((ContinuousStatsTable[[#This Row],[RepsRequested]]&gt;1),ContinuousStatsTable[[#This Row],[HalfWidth]],ContinuousStatsTable[[#This Row],[BatchMeansHalfWidth]])</f>
        <v>0.17924609276697798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28515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134</v>
      </c>
      <c r="H2">
        <v>0</v>
      </c>
      <c r="I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151.19999999999999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11.432410069622241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" cm="1">
        <f t="array" ref="O2">MIN(IF((OutputTable[GroupByKey]=OutputTable[[#This Row],[GroupByKey]]),(OutputTable[GroupByKey]=OutputTable[[#This Row],[GroupByKey]])*OutputTable[RecordedValue]))</f>
        <v>134</v>
      </c>
      <c r="P2" cm="1">
        <f t="array" ref="P2">MAX(IF((OutputTable[GroupByKey]=OutputTable[[#This Row],[GroupByKey]]),(OutputTable[GroupByKey]=OutputTable[[#This Row],[GroupByKey]])*OutputTable[RecordedValue]))</f>
        <v>163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0.64421661257995999</v>
      </c>
      <c r="H3">
        <v>0</v>
      </c>
      <c r="I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0.69887379983755582</v>
      </c>
      <c r="L3" cm="1">
        <f t="array" ref="L3">IFERROR(_xlfn.STDEV.S(IF((OutputTable[GroupByKey]=OutputTable[[#This Row],[GroupByKey]]),(OutputTable[GroupByKey]=OutputTable[[#This Row],[GroupByKey]])*OutputTable[RecordedValue])),0)</f>
        <v>3.5921507178221228E-2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3" cm="1">
        <f t="array" ref="O3">MIN(IF((OutputTable[GroupByKey]=OutputTable[[#This Row],[GroupByKey]]),(OutputTable[GroupByKey]=OutputTable[[#This Row],[GroupByKey]])*OutputTable[RecordedValue]))</f>
        <v>0.64421661257995999</v>
      </c>
      <c r="P3" cm="1">
        <f t="array" ref="P3">MAX(IF((OutputTable[GroupByKey]=OutputTable[[#This Row],[GroupByKey]]),(OutputTable[GroupByKey]=OutputTable[[#This Row],[GroupByKey]])*OutputTable[RecordedValue]))</f>
        <v>0.74385294251498302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134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151.19999999999999</v>
      </c>
      <c r="L4" cm="1">
        <f t="array" ref="L4">IFERROR(_xlfn.STDEV.S(IF((OutputTable[GroupByKey]=OutputTable[[#This Row],[GroupByKey]]),(OutputTable[GroupByKey]=OutputTable[[#This Row],[GroupByKey]])*OutputTable[RecordedValue])),0)</f>
        <v>11.432410069622241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4" cm="1">
        <f t="array" ref="O4">MIN(IF((OutputTable[GroupByKey]=OutputTable[[#This Row],[GroupByKey]]),(OutputTable[GroupByKey]=OutputTable[[#This Row],[GroupByKey]])*OutputTable[RecordedValue]))</f>
        <v>134</v>
      </c>
      <c r="P4" cm="1">
        <f t="array" ref="P4">MAX(IF((OutputTable[GroupByKey]=OutputTable[[#This Row],[GroupByKey]]),(OutputTable[GroupByKey]=OutputTable[[#This Row],[GroupByKey]])*OutputTable[RecordedValue]))</f>
        <v>163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134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150.80000000000001</v>
      </c>
      <c r="L5" cm="1">
        <f t="array" ref="L5">IFERROR(_xlfn.STDEV.S(IF((OutputTable[GroupByKey]=OutputTable[[#This Row],[GroupByKey]]),(OutputTable[GroupByKey]=OutputTable[[#This Row],[GroupByKey]])*OutputTable[RecordedValue])),0)</f>
        <v>11.519548602267365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5" cm="1">
        <f t="array" ref="O5">MIN(IF((OutputTable[GroupByKey]=OutputTable[[#This Row],[GroupByKey]]),(OutputTable[GroupByKey]=OutputTable[[#This Row],[GroupByKey]])*OutputTable[RecordedValue]))</f>
        <v>134</v>
      </c>
      <c r="P5" cm="1">
        <f t="array" ref="P5">MAX(IF((OutputTable[GroupByKey]=OutputTable[[#This Row],[GroupByKey]]),(OutputTable[GroupByKey]=OutputTable[[#This Row],[GroupByKey]])*OutputTable[RecordedValue]))</f>
        <v>163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134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150.80000000000001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11.519548602267365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6" cm="1">
        <f t="array" ref="O6">MIN(IF((OutputTable[GroupByKey]=OutputTable[[#This Row],[GroupByKey]]),(OutputTable[GroupByKey]=OutputTable[[#This Row],[GroupByKey]])*OutputTable[RecordedValue]))</f>
        <v>134</v>
      </c>
      <c r="P6" cm="1">
        <f t="array" ref="P6">MAX(IF((OutputTable[GroupByKey]=OutputTable[[#This Row],[GroupByKey]]),(OutputTable[GroupByKey]=OutputTable[[#This Row],[GroupByKey]])*OutputTable[RecordedValue]))</f>
        <v>163</v>
      </c>
    </row>
    <row r="7" spans="1:16" x14ac:dyDescent="0.25">
      <c r="A7" t="s">
        <v>67</v>
      </c>
      <c r="B7" t="s">
        <v>70</v>
      </c>
      <c r="C7">
        <v>2</v>
      </c>
      <c r="D7" t="s">
        <v>89</v>
      </c>
      <c r="E7" t="s">
        <v>90</v>
      </c>
      <c r="F7" t="s">
        <v>84</v>
      </c>
      <c r="G7">
        <v>148</v>
      </c>
      <c r="H7">
        <v>0</v>
      </c>
      <c r="I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151.19999999999999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11.432410069622241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7" cm="1">
        <f t="array" ref="O7">MIN(IF((OutputTable[GroupByKey]=OutputTable[[#This Row],[GroupByKey]]),(OutputTable[GroupByKey]=OutputTable[[#This Row],[GroupByKey]])*OutputTable[RecordedValue]))</f>
        <v>134</v>
      </c>
      <c r="P7" cm="1">
        <f t="array" ref="P7">MAX(IF((OutputTable[GroupByKey]=OutputTable[[#This Row],[GroupByKey]]),(OutputTable[GroupByKey]=OutputTable[[#This Row],[GroupByKey]])*OutputTable[RecordedValue]))</f>
        <v>163</v>
      </c>
    </row>
    <row r="8" spans="1:16" x14ac:dyDescent="0.25">
      <c r="A8" t="s">
        <v>67</v>
      </c>
      <c r="B8" t="s">
        <v>70</v>
      </c>
      <c r="C8">
        <v>2</v>
      </c>
      <c r="D8" t="s">
        <v>91</v>
      </c>
      <c r="E8" t="s">
        <v>92</v>
      </c>
      <c r="F8" t="s">
        <v>84</v>
      </c>
      <c r="G8">
        <v>0.69787021558009399</v>
      </c>
      <c r="H8">
        <v>0</v>
      </c>
      <c r="I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0.69887379983755582</v>
      </c>
      <c r="L8" cm="1">
        <f t="array" ref="L8">IFERROR(_xlfn.STDEV.S(IF((OutputTable[GroupByKey]=OutputTable[[#This Row],[GroupByKey]]),(OutputTable[GroupByKey]=OutputTable[[#This Row],[GroupByKey]])*OutputTable[RecordedValue])),0)</f>
        <v>3.5921507178221228E-2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8" cm="1">
        <f t="array" ref="O8">MIN(IF((OutputTable[GroupByKey]=OutputTable[[#This Row],[GroupByKey]]),(OutputTable[GroupByKey]=OutputTable[[#This Row],[GroupByKey]])*OutputTable[RecordedValue]))</f>
        <v>0.64421661257995999</v>
      </c>
      <c r="P8" cm="1">
        <f t="array" ref="P8">MAX(IF((OutputTable[GroupByKey]=OutputTable[[#This Row],[GroupByKey]]),(OutputTable[GroupByKey]=OutputTable[[#This Row],[GroupByKey]])*OutputTable[RecordedValue]))</f>
        <v>0.74385294251498302</v>
      </c>
    </row>
    <row r="9" spans="1:16" x14ac:dyDescent="0.25">
      <c r="A9" t="s">
        <v>67</v>
      </c>
      <c r="B9" t="s">
        <v>70</v>
      </c>
      <c r="C9">
        <v>2</v>
      </c>
      <c r="D9" t="s">
        <v>93</v>
      </c>
      <c r="E9" t="s">
        <v>94</v>
      </c>
      <c r="F9" t="s">
        <v>76</v>
      </c>
      <c r="G9">
        <v>148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151.19999999999999</v>
      </c>
      <c r="L9" cm="1">
        <f t="array" ref="L9">IFERROR(_xlfn.STDEV.S(IF((OutputTable[GroupByKey]=OutputTable[[#This Row],[GroupByKey]]),(OutputTable[GroupByKey]=OutputTable[[#This Row],[GroupByKey]])*OutputTable[RecordedValue])),0)</f>
        <v>11.432410069622241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9" cm="1">
        <f t="array" ref="O9">MIN(IF((OutputTable[GroupByKey]=OutputTable[[#This Row],[GroupByKey]]),(OutputTable[GroupByKey]=OutputTable[[#This Row],[GroupByKey]])*OutputTable[RecordedValue]))</f>
        <v>134</v>
      </c>
      <c r="P9" cm="1">
        <f t="array" ref="P9">MAX(IF((OutputTable[GroupByKey]=OutputTable[[#This Row],[GroupByKey]]),(OutputTable[GroupByKey]=OutputTable[[#This Row],[GroupByKey]])*OutputTable[RecordedValue]))</f>
        <v>163</v>
      </c>
    </row>
    <row r="10" spans="1:16" x14ac:dyDescent="0.25">
      <c r="A10" t="s">
        <v>67</v>
      </c>
      <c r="B10" t="s">
        <v>70</v>
      </c>
      <c r="C10">
        <v>2</v>
      </c>
      <c r="D10" t="s">
        <v>95</v>
      </c>
      <c r="E10" t="s">
        <v>96</v>
      </c>
      <c r="F10" t="s">
        <v>76</v>
      </c>
      <c r="G10">
        <v>147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150.80000000000001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11.519548602267365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0" cm="1">
        <f t="array" ref="O10">MIN(IF((OutputTable[GroupByKey]=OutputTable[[#This Row],[GroupByKey]]),(OutputTable[GroupByKey]=OutputTable[[#This Row],[GroupByKey]])*OutputTable[RecordedValue]))</f>
        <v>134</v>
      </c>
      <c r="P10" cm="1">
        <f t="array" ref="P10">MAX(IF((OutputTable[GroupByKey]=OutputTable[[#This Row],[GroupByKey]]),(OutputTable[GroupByKey]=OutputTable[[#This Row],[GroupByKey]])*OutputTable[RecordedValue]))</f>
        <v>163</v>
      </c>
    </row>
    <row r="11" spans="1:16" x14ac:dyDescent="0.25">
      <c r="A11" t="s">
        <v>67</v>
      </c>
      <c r="B11" t="s">
        <v>70</v>
      </c>
      <c r="C11">
        <v>2</v>
      </c>
      <c r="D11" t="s">
        <v>97</v>
      </c>
      <c r="E11" t="s">
        <v>96</v>
      </c>
      <c r="F11" t="s">
        <v>98</v>
      </c>
      <c r="G11">
        <v>147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150.80000000000001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11.519548602267365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1" cm="1">
        <f t="array" ref="O11">MIN(IF((OutputTable[GroupByKey]=OutputTable[[#This Row],[GroupByKey]]),(OutputTable[GroupByKey]=OutputTable[[#This Row],[GroupByKey]])*OutputTable[RecordedValue]))</f>
        <v>134</v>
      </c>
      <c r="P11" cm="1">
        <f t="array" ref="P11">MAX(IF((OutputTable[GroupByKey]=OutputTable[[#This Row],[GroupByKey]]),(OutputTable[GroupByKey]=OutputTable[[#This Row],[GroupByKey]])*OutputTable[RecordedValue]))</f>
        <v>163</v>
      </c>
    </row>
    <row r="12" spans="1:16" x14ac:dyDescent="0.25">
      <c r="A12" t="s">
        <v>67</v>
      </c>
      <c r="B12" t="s">
        <v>70</v>
      </c>
      <c r="C12">
        <v>3</v>
      </c>
      <c r="D12" t="s">
        <v>89</v>
      </c>
      <c r="E12" t="s">
        <v>90</v>
      </c>
      <c r="F12" t="s">
        <v>84</v>
      </c>
      <c r="G12">
        <v>163</v>
      </c>
      <c r="H12">
        <v>0</v>
      </c>
      <c r="I1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151.19999999999999</v>
      </c>
      <c r="L12" cm="1">
        <f t="array" ref="L12">IFERROR(_xlfn.STDEV.S(IF((OutputTable[GroupByKey]=OutputTable[[#This Row],[GroupByKey]]),(OutputTable[GroupByKey]=OutputTable[[#This Row],[GroupByKey]])*OutputTable[RecordedValue])),0)</f>
        <v>11.432410069622241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2" cm="1">
        <f t="array" ref="O12">MIN(IF((OutputTable[GroupByKey]=OutputTable[[#This Row],[GroupByKey]]),(OutputTable[GroupByKey]=OutputTable[[#This Row],[GroupByKey]])*OutputTable[RecordedValue]))</f>
        <v>134</v>
      </c>
      <c r="P12" cm="1">
        <f t="array" ref="P12">MAX(IF((OutputTable[GroupByKey]=OutputTable[[#This Row],[GroupByKey]]),(OutputTable[GroupByKey]=OutputTable[[#This Row],[GroupByKey]])*OutputTable[RecordedValue]))</f>
        <v>163</v>
      </c>
    </row>
    <row r="13" spans="1:16" x14ac:dyDescent="0.25">
      <c r="A13" t="s">
        <v>67</v>
      </c>
      <c r="B13" t="s">
        <v>70</v>
      </c>
      <c r="C13">
        <v>3</v>
      </c>
      <c r="D13" t="s">
        <v>91</v>
      </c>
      <c r="E13" t="s">
        <v>92</v>
      </c>
      <c r="F13" t="s">
        <v>84</v>
      </c>
      <c r="G13">
        <v>0.74385294251498302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0.69887379983755582</v>
      </c>
      <c r="L13" cm="1">
        <f t="array" ref="L13">IFERROR(_xlfn.STDEV.S(IF((OutputTable[GroupByKey]=OutputTable[[#This Row],[GroupByKey]]),(OutputTable[GroupByKey]=OutputTable[[#This Row],[GroupByKey]])*OutputTable[RecordedValue])),0)</f>
        <v>3.5921507178221228E-2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13" cm="1">
        <f t="array" ref="O13">MIN(IF((OutputTable[GroupByKey]=OutputTable[[#This Row],[GroupByKey]]),(OutputTable[GroupByKey]=OutputTable[[#This Row],[GroupByKey]])*OutputTable[RecordedValue]))</f>
        <v>0.64421661257995999</v>
      </c>
      <c r="P13" cm="1">
        <f t="array" ref="P13">MAX(IF((OutputTable[GroupByKey]=OutputTable[[#This Row],[GroupByKey]]),(OutputTable[GroupByKey]=OutputTable[[#This Row],[GroupByKey]])*OutputTable[RecordedValue]))</f>
        <v>0.74385294251498302</v>
      </c>
    </row>
    <row r="14" spans="1:16" x14ac:dyDescent="0.25">
      <c r="A14" t="s">
        <v>67</v>
      </c>
      <c r="B14" t="s">
        <v>70</v>
      </c>
      <c r="C14">
        <v>3</v>
      </c>
      <c r="D14" t="s">
        <v>93</v>
      </c>
      <c r="E14" t="s">
        <v>94</v>
      </c>
      <c r="F14" t="s">
        <v>76</v>
      </c>
      <c r="G14">
        <v>163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151.19999999999999</v>
      </c>
      <c r="L14" cm="1">
        <f t="array" ref="L14">IFERROR(_xlfn.STDEV.S(IF((OutputTable[GroupByKey]=OutputTable[[#This Row],[GroupByKey]]),(OutputTable[GroupByKey]=OutputTable[[#This Row],[GroupByKey]])*OutputTable[RecordedValue])),0)</f>
        <v>11.432410069622241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4" cm="1">
        <f t="array" ref="O14">MIN(IF((OutputTable[GroupByKey]=OutputTable[[#This Row],[GroupByKey]]),(OutputTable[GroupByKey]=OutputTable[[#This Row],[GroupByKey]])*OutputTable[RecordedValue]))</f>
        <v>134</v>
      </c>
      <c r="P14" cm="1">
        <f t="array" ref="P14">MAX(IF((OutputTable[GroupByKey]=OutputTable[[#This Row],[GroupByKey]]),(OutputTable[GroupByKey]=OutputTable[[#This Row],[GroupByKey]])*OutputTable[RecordedValue]))</f>
        <v>163</v>
      </c>
    </row>
    <row r="15" spans="1:16" x14ac:dyDescent="0.25">
      <c r="A15" t="s">
        <v>67</v>
      </c>
      <c r="B15" t="s">
        <v>70</v>
      </c>
      <c r="C15">
        <v>3</v>
      </c>
      <c r="D15" t="s">
        <v>95</v>
      </c>
      <c r="E15" t="s">
        <v>96</v>
      </c>
      <c r="F15" t="s">
        <v>76</v>
      </c>
      <c r="G15">
        <v>163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150.80000000000001</v>
      </c>
      <c r="L15" cm="1">
        <f t="array" ref="L15">IFERROR(_xlfn.STDEV.S(IF((OutputTable[GroupByKey]=OutputTable[[#This Row],[GroupByKey]]),(OutputTable[GroupByKey]=OutputTable[[#This Row],[GroupByKey]])*OutputTable[RecordedValue])),0)</f>
        <v>11.519548602267365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5" cm="1">
        <f t="array" ref="O15">MIN(IF((OutputTable[GroupByKey]=OutputTable[[#This Row],[GroupByKey]]),(OutputTable[GroupByKey]=OutputTable[[#This Row],[GroupByKey]])*OutputTable[RecordedValue]))</f>
        <v>134</v>
      </c>
      <c r="P15" cm="1">
        <f t="array" ref="P15">MAX(IF((OutputTable[GroupByKey]=OutputTable[[#This Row],[GroupByKey]]),(OutputTable[GroupByKey]=OutputTable[[#This Row],[GroupByKey]])*OutputTable[RecordedValue]))</f>
        <v>163</v>
      </c>
    </row>
    <row r="16" spans="1:16" x14ac:dyDescent="0.25">
      <c r="A16" t="s">
        <v>67</v>
      </c>
      <c r="B16" t="s">
        <v>70</v>
      </c>
      <c r="C16">
        <v>3</v>
      </c>
      <c r="D16" t="s">
        <v>97</v>
      </c>
      <c r="E16" t="s">
        <v>96</v>
      </c>
      <c r="F16" t="s">
        <v>98</v>
      </c>
      <c r="G16">
        <v>163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150.80000000000001</v>
      </c>
      <c r="L16" cm="1">
        <f t="array" ref="L16">IFERROR(_xlfn.STDEV.S(IF((OutputTable[GroupByKey]=OutputTable[[#This Row],[GroupByKey]]),(OutputTable[GroupByKey]=OutputTable[[#This Row],[GroupByKey]])*OutputTable[RecordedValue])),0)</f>
        <v>11.519548602267365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6" cm="1">
        <f t="array" ref="O16">MIN(IF((OutputTable[GroupByKey]=OutputTable[[#This Row],[GroupByKey]]),(OutputTable[GroupByKey]=OutputTable[[#This Row],[GroupByKey]])*OutputTable[RecordedValue]))</f>
        <v>134</v>
      </c>
      <c r="P16" cm="1">
        <f t="array" ref="P16">MAX(IF((OutputTable[GroupByKey]=OutputTable[[#This Row],[GroupByKey]]),(OutputTable[GroupByKey]=OutputTable[[#This Row],[GroupByKey]])*OutputTable[RecordedValue]))</f>
        <v>163</v>
      </c>
    </row>
    <row r="17" spans="1:16" x14ac:dyDescent="0.25">
      <c r="A17" t="s">
        <v>67</v>
      </c>
      <c r="B17" t="s">
        <v>70</v>
      </c>
      <c r="C17">
        <v>4</v>
      </c>
      <c r="D17" t="s">
        <v>89</v>
      </c>
      <c r="E17" t="s">
        <v>90</v>
      </c>
      <c r="F17" t="s">
        <v>84</v>
      </c>
      <c r="G17">
        <v>151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151.19999999999999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11.432410069622241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7" cm="1">
        <f t="array" ref="O17">MIN(IF((OutputTable[GroupByKey]=OutputTable[[#This Row],[GroupByKey]]),(OutputTable[GroupByKey]=OutputTable[[#This Row],[GroupByKey]])*OutputTable[RecordedValue]))</f>
        <v>134</v>
      </c>
      <c r="P17" cm="1">
        <f t="array" ref="P17">MAX(IF((OutputTable[GroupByKey]=OutputTable[[#This Row],[GroupByKey]]),(OutputTable[GroupByKey]=OutputTable[[#This Row],[GroupByKey]])*OutputTable[RecordedValue]))</f>
        <v>163</v>
      </c>
    </row>
    <row r="18" spans="1:16" x14ac:dyDescent="0.25">
      <c r="A18" t="s">
        <v>67</v>
      </c>
      <c r="B18" t="s">
        <v>70</v>
      </c>
      <c r="C18">
        <v>4</v>
      </c>
      <c r="D18" t="s">
        <v>91</v>
      </c>
      <c r="E18" t="s">
        <v>92</v>
      </c>
      <c r="F18" t="s">
        <v>84</v>
      </c>
      <c r="G18">
        <v>0.69740170231515697</v>
      </c>
      <c r="H18">
        <v>0</v>
      </c>
      <c r="I1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0.69887379983755582</v>
      </c>
      <c r="L18" cm="1">
        <f t="array" ref="L18">IFERROR(_xlfn.STDEV.S(IF((OutputTable[GroupByKey]=OutputTable[[#This Row],[GroupByKey]]),(OutputTable[GroupByKey]=OutputTable[[#This Row],[GroupByKey]])*OutputTable[RecordedValue])),0)</f>
        <v>3.5921507178221228E-2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18" cm="1">
        <f t="array" ref="O18">MIN(IF((OutputTable[GroupByKey]=OutputTable[[#This Row],[GroupByKey]]),(OutputTable[GroupByKey]=OutputTable[[#This Row],[GroupByKey]])*OutputTable[RecordedValue]))</f>
        <v>0.64421661257995999</v>
      </c>
      <c r="P18" cm="1">
        <f t="array" ref="P18">MAX(IF((OutputTable[GroupByKey]=OutputTable[[#This Row],[GroupByKey]]),(OutputTable[GroupByKey]=OutputTable[[#This Row],[GroupByKey]])*OutputTable[RecordedValue]))</f>
        <v>0.74385294251498302</v>
      </c>
    </row>
    <row r="19" spans="1:16" x14ac:dyDescent="0.25">
      <c r="A19" t="s">
        <v>67</v>
      </c>
      <c r="B19" t="s">
        <v>70</v>
      </c>
      <c r="C19">
        <v>4</v>
      </c>
      <c r="D19" t="s">
        <v>93</v>
      </c>
      <c r="E19" t="s">
        <v>94</v>
      </c>
      <c r="F19" t="s">
        <v>76</v>
      </c>
      <c r="G19">
        <v>151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151.19999999999999</v>
      </c>
      <c r="L19" cm="1">
        <f t="array" ref="L19">IFERROR(_xlfn.STDEV.S(IF((OutputTable[GroupByKey]=OutputTable[[#This Row],[GroupByKey]]),(OutputTable[GroupByKey]=OutputTable[[#This Row],[GroupByKey]])*OutputTable[RecordedValue])),0)</f>
        <v>11.432410069622241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9" cm="1">
        <f t="array" ref="O19">MIN(IF((OutputTable[GroupByKey]=OutputTable[[#This Row],[GroupByKey]]),(OutputTable[GroupByKey]=OutputTable[[#This Row],[GroupByKey]])*OutputTable[RecordedValue]))</f>
        <v>134</v>
      </c>
      <c r="P19" cm="1">
        <f t="array" ref="P19">MAX(IF((OutputTable[GroupByKey]=OutputTable[[#This Row],[GroupByKey]]),(OutputTable[GroupByKey]=OutputTable[[#This Row],[GroupByKey]])*OutputTable[RecordedValue]))</f>
        <v>163</v>
      </c>
    </row>
    <row r="20" spans="1:16" x14ac:dyDescent="0.25">
      <c r="A20" t="s">
        <v>67</v>
      </c>
      <c r="B20" t="s">
        <v>70</v>
      </c>
      <c r="C20">
        <v>4</v>
      </c>
      <c r="D20" t="s">
        <v>95</v>
      </c>
      <c r="E20" t="s">
        <v>96</v>
      </c>
      <c r="F20" t="s">
        <v>76</v>
      </c>
      <c r="G20">
        <v>150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150.80000000000001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11.519548602267365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0" cm="1">
        <f t="array" ref="O20">MIN(IF((OutputTable[GroupByKey]=OutputTable[[#This Row],[GroupByKey]]),(OutputTable[GroupByKey]=OutputTable[[#This Row],[GroupByKey]])*OutputTable[RecordedValue]))</f>
        <v>134</v>
      </c>
      <c r="P20" cm="1">
        <f t="array" ref="P20">MAX(IF((OutputTable[GroupByKey]=OutputTable[[#This Row],[GroupByKey]]),(OutputTable[GroupByKey]=OutputTable[[#This Row],[GroupByKey]])*OutputTable[RecordedValue]))</f>
        <v>163</v>
      </c>
    </row>
    <row r="21" spans="1:16" x14ac:dyDescent="0.25">
      <c r="A21" t="s">
        <v>67</v>
      </c>
      <c r="B21" t="s">
        <v>70</v>
      </c>
      <c r="C21">
        <v>4</v>
      </c>
      <c r="D21" t="s">
        <v>97</v>
      </c>
      <c r="E21" t="s">
        <v>96</v>
      </c>
      <c r="F21" t="s">
        <v>98</v>
      </c>
      <c r="G21">
        <v>150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150.80000000000001</v>
      </c>
      <c r="L21" cm="1">
        <f t="array" ref="L21">IFERROR(_xlfn.STDEV.S(IF((OutputTable[GroupByKey]=OutputTable[[#This Row],[GroupByKey]]),(OutputTable[GroupByKey]=OutputTable[[#This Row],[GroupByKey]])*OutputTable[RecordedValue])),0)</f>
        <v>11.519548602267365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1" cm="1">
        <f t="array" ref="O21">MIN(IF((OutputTable[GroupByKey]=OutputTable[[#This Row],[GroupByKey]]),(OutputTable[GroupByKey]=OutputTable[[#This Row],[GroupByKey]])*OutputTable[RecordedValue]))</f>
        <v>134</v>
      </c>
      <c r="P21" cm="1">
        <f t="array" ref="P21">MAX(IF((OutputTable[GroupByKey]=OutputTable[[#This Row],[GroupByKey]]),(OutputTable[GroupByKey]=OutputTable[[#This Row],[GroupByKey]])*OutputTable[RecordedValue]))</f>
        <v>163</v>
      </c>
    </row>
    <row r="22" spans="1:16" x14ac:dyDescent="0.25">
      <c r="A22" t="s">
        <v>67</v>
      </c>
      <c r="B22" t="s">
        <v>70</v>
      </c>
      <c r="C22">
        <v>5</v>
      </c>
      <c r="D22" t="s">
        <v>89</v>
      </c>
      <c r="E22" t="s">
        <v>90</v>
      </c>
      <c r="F22" t="s">
        <v>84</v>
      </c>
      <c r="G22">
        <v>160</v>
      </c>
      <c r="H22">
        <v>0</v>
      </c>
      <c r="I2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151.19999999999999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11.432410069622241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2" cm="1">
        <f t="array" ref="O22">MIN(IF((OutputTable[GroupByKey]=OutputTable[[#This Row],[GroupByKey]]),(OutputTable[GroupByKey]=OutputTable[[#This Row],[GroupByKey]])*OutputTable[RecordedValue]))</f>
        <v>134</v>
      </c>
      <c r="P22" cm="1">
        <f t="array" ref="P22">MAX(IF((OutputTable[GroupByKey]=OutputTable[[#This Row],[GroupByKey]]),(OutputTable[GroupByKey]=OutputTable[[#This Row],[GroupByKey]])*OutputTable[RecordedValue]))</f>
        <v>163</v>
      </c>
    </row>
    <row r="23" spans="1:16" x14ac:dyDescent="0.25">
      <c r="A23" t="s">
        <v>67</v>
      </c>
      <c r="B23" t="s">
        <v>70</v>
      </c>
      <c r="C23">
        <v>5</v>
      </c>
      <c r="D23" t="s">
        <v>91</v>
      </c>
      <c r="E23" t="s">
        <v>92</v>
      </c>
      <c r="F23" t="s">
        <v>84</v>
      </c>
      <c r="G23">
        <v>0.71102752619758502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0.69887379983755582</v>
      </c>
      <c r="L23" cm="1">
        <f t="array" ref="L23">IFERROR(_xlfn.STDEV.S(IF((OutputTable[GroupByKey]=OutputTable[[#This Row],[GroupByKey]]),(OutputTable[GroupByKey]=OutputTable[[#This Row],[GroupByKey]])*OutputTable[RecordedValue])),0)</f>
        <v>3.5921507178221228E-2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23" cm="1">
        <f t="array" ref="O23">MIN(IF((OutputTable[GroupByKey]=OutputTable[[#This Row],[GroupByKey]]),(OutputTable[GroupByKey]=OutputTable[[#This Row],[GroupByKey]])*OutputTable[RecordedValue]))</f>
        <v>0.64421661257995999</v>
      </c>
      <c r="P23" cm="1">
        <f t="array" ref="P23">MAX(IF((OutputTable[GroupByKey]=OutputTable[[#This Row],[GroupByKey]]),(OutputTable[GroupByKey]=OutputTable[[#This Row],[GroupByKey]])*OutputTable[RecordedValue]))</f>
        <v>0.74385294251498302</v>
      </c>
    </row>
    <row r="24" spans="1:16" x14ac:dyDescent="0.25">
      <c r="A24" t="s">
        <v>67</v>
      </c>
      <c r="B24" t="s">
        <v>70</v>
      </c>
      <c r="C24">
        <v>5</v>
      </c>
      <c r="D24" t="s">
        <v>93</v>
      </c>
      <c r="E24" t="s">
        <v>94</v>
      </c>
      <c r="F24" t="s">
        <v>76</v>
      </c>
      <c r="G24">
        <v>160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151.19999999999999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11.432410069622241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4" cm="1">
        <f t="array" ref="O24">MIN(IF((OutputTable[GroupByKey]=OutputTable[[#This Row],[GroupByKey]]),(OutputTable[GroupByKey]=OutputTable[[#This Row],[GroupByKey]])*OutputTable[RecordedValue]))</f>
        <v>134</v>
      </c>
      <c r="P24" cm="1">
        <f t="array" ref="P24">MAX(IF((OutputTable[GroupByKey]=OutputTable[[#This Row],[GroupByKey]]),(OutputTable[GroupByKey]=OutputTable[[#This Row],[GroupByKey]])*OutputTable[RecordedValue]))</f>
        <v>163</v>
      </c>
    </row>
    <row r="25" spans="1:16" x14ac:dyDescent="0.25">
      <c r="A25" t="s">
        <v>67</v>
      </c>
      <c r="B25" t="s">
        <v>70</v>
      </c>
      <c r="C25">
        <v>5</v>
      </c>
      <c r="D25" t="s">
        <v>95</v>
      </c>
      <c r="E25" t="s">
        <v>96</v>
      </c>
      <c r="F25" t="s">
        <v>76</v>
      </c>
      <c r="G25">
        <v>160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150.80000000000001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11.519548602267365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5" cm="1">
        <f t="array" ref="O25">MIN(IF((OutputTable[GroupByKey]=OutputTable[[#This Row],[GroupByKey]]),(OutputTable[GroupByKey]=OutputTable[[#This Row],[GroupByKey]])*OutputTable[RecordedValue]))</f>
        <v>134</v>
      </c>
      <c r="P25" cm="1">
        <f t="array" ref="P25">MAX(IF((OutputTable[GroupByKey]=OutputTable[[#This Row],[GroupByKey]]),(OutputTable[GroupByKey]=OutputTable[[#This Row],[GroupByKey]])*OutputTable[RecordedValue]))</f>
        <v>163</v>
      </c>
    </row>
    <row r="26" spans="1:16" x14ac:dyDescent="0.25">
      <c r="A26" t="s">
        <v>67</v>
      </c>
      <c r="B26" t="s">
        <v>70</v>
      </c>
      <c r="C26">
        <v>5</v>
      </c>
      <c r="D26" t="s">
        <v>97</v>
      </c>
      <c r="E26" t="s">
        <v>96</v>
      </c>
      <c r="F26" t="s">
        <v>98</v>
      </c>
      <c r="G26">
        <v>160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150.80000000000001</v>
      </c>
      <c r="L26" cm="1">
        <f t="array" ref="L26">IFERROR(_xlfn.STDEV.S(IF((OutputTable[GroupByKey]=OutputTable[[#This Row],[GroupByKey]]),(OutputTable[GroupByKey]=OutputTable[[#This Row],[GroupByKey]])*OutputTable[RecordedValue])),0)</f>
        <v>11.519548602267365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6" cm="1">
        <f t="array" ref="O26">MIN(IF((OutputTable[GroupByKey]=OutputTable[[#This Row],[GroupByKey]]),(OutputTable[GroupByKey]=OutputTable[[#This Row],[GroupByKey]])*OutputTable[RecordedValue]))</f>
        <v>134</v>
      </c>
      <c r="P26" cm="1">
        <f t="array" ref="P26">MAX(IF((OutputTable[GroupByKey]=OutputTable[[#This Row],[GroupByKey]]),(OutputTable[GroupByKey]=OutputTable[[#This Row],[GroupByKey]])*OutputTable[RecordedValue]))</f>
        <v>163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2026-01-28T13:53:08Z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