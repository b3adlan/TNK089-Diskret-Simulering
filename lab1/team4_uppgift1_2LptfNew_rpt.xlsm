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13_ncr:1_{FCD6ABE2-61FB-4061-8492-401FEBA44241}" xr6:coauthVersionLast="47" xr6:coauthVersionMax="47" xr10:uidLastSave="{00000000-0000-0000-0000-000000000000}"/>
  <bookViews>
    <workbookView xWindow="0" yWindow="8925" windowWidth="28500" windowHeight="835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O5" i="20" s="1" a="1"/>
  <c r="O5" i="20" s="1"/>
  <c r="I4" i="20"/>
  <c r="I5" i="20"/>
  <c r="I6" i="20"/>
  <c r="I7" i="20"/>
  <c r="I8" i="20"/>
  <c r="I9" i="20"/>
  <c r="I10" i="20"/>
  <c r="P8" i="20" s="1" a="1"/>
  <c r="P8" i="20" s="1"/>
  <c r="I11" i="20"/>
  <c r="P9" i="20" s="1" a="1"/>
  <c r="P9" i="20" s="1"/>
  <c r="I12" i="20"/>
  <c r="I13" i="20"/>
  <c r="I14" i="20"/>
  <c r="K14" i="20" s="1" a="1"/>
  <c r="K14" i="20" s="1"/>
  <c r="I15" i="20"/>
  <c r="I16" i="20"/>
  <c r="O16" i="20" s="1" a="1"/>
  <c r="O16" i="20" s="1"/>
  <c r="I17" i="20"/>
  <c r="P10" i="20" s="1" a="1"/>
  <c r="P10" i="20" s="1"/>
  <c r="I18" i="20"/>
  <c r="O17" i="20" s="1" a="1"/>
  <c r="O17" i="20" s="1"/>
  <c r="I19" i="20"/>
  <c r="I20" i="20"/>
  <c r="I21" i="20"/>
  <c r="I22" i="20"/>
  <c r="I23" i="20"/>
  <c r="K23" i="20" s="1" a="1"/>
  <c r="K23" i="20" s="1"/>
  <c r="I24" i="20"/>
  <c r="I25" i="20"/>
  <c r="I26" i="20"/>
  <c r="J2" i="20" a="1"/>
  <c r="J2" i="20" s="1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/>
  <c r="J15" i="20" a="1"/>
  <c r="J15" i="20" s="1"/>
  <c r="J16" i="20" a="1"/>
  <c r="J16" i="20" s="1"/>
  <c r="J17" i="20" a="1"/>
  <c r="J17" i="20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/>
  <c r="J25" i="20" a="1"/>
  <c r="J25" i="20" s="1"/>
  <c r="J26" i="20" a="1"/>
  <c r="J26" i="20" s="1"/>
  <c r="K13" i="20" a="1"/>
  <c r="K13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P16" i="18" s="1" a="1"/>
  <c r="P16" i="18" s="1"/>
  <c r="M17" i="18"/>
  <c r="M18" i="18"/>
  <c r="M19" i="18"/>
  <c r="M20" i="18"/>
  <c r="M21" i="18"/>
  <c r="M22" i="18"/>
  <c r="M23" i="18"/>
  <c r="M24" i="18"/>
  <c r="M25" i="18"/>
  <c r="S25" i="18" s="1" a="1"/>
  <c r="S25" i="18" s="1"/>
  <c r="M26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 s="1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 s="1"/>
  <c r="N21" i="18" a="1"/>
  <c r="N21" i="18"/>
  <c r="N22" i="18" a="1"/>
  <c r="N22" i="18"/>
  <c r="N23" i="18" a="1"/>
  <c r="N23" i="18"/>
  <c r="N24" i="18" a="1"/>
  <c r="N24" i="18"/>
  <c r="N25" i="18" a="1"/>
  <c r="N25" i="18"/>
  <c r="N26" i="18" a="1"/>
  <c r="N26" i="18"/>
  <c r="Q2" i="18" a="1"/>
  <c r="Q2" i="18"/>
  <c r="Q3" i="18" a="1"/>
  <c r="Q3" i="18"/>
  <c r="Q4" i="18" a="1"/>
  <c r="Q4" i="18" s="1"/>
  <c r="Q5" i="18" a="1"/>
  <c r="Q5" i="18" s="1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 s="1"/>
  <c r="Q25" i="18" a="1"/>
  <c r="Q25" i="18"/>
  <c r="Q26" i="18" a="1"/>
  <c r="Q26" i="18" s="1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/>
  <c r="M10" i="17" a="1"/>
  <c r="M10" i="17"/>
  <c r="M11" i="17" a="1"/>
  <c r="M11" i="17"/>
  <c r="M12" i="17" a="1"/>
  <c r="M12" i="17"/>
  <c r="M3" i="17" a="1"/>
  <c r="M3" i="17"/>
  <c r="M13" i="17" a="1"/>
  <c r="M13" i="17"/>
  <c r="M14" i="17" a="1"/>
  <c r="M14" i="17"/>
  <c r="M15" i="17" a="1"/>
  <c r="M15" i="17"/>
  <c r="M16" i="17" a="1"/>
  <c r="M16" i="17"/>
  <c r="M17" i="17" a="1"/>
  <c r="M17" i="17" s="1"/>
  <c r="M18" i="17" a="1"/>
  <c r="M18" i="17" s="1"/>
  <c r="M4" i="17" a="1"/>
  <c r="M4" i="17"/>
  <c r="M19" i="17" a="1"/>
  <c r="M19" i="17" s="1"/>
  <c r="M20" i="17" a="1"/>
  <c r="M20" i="17"/>
  <c r="M21" i="17" a="1"/>
  <c r="M21" i="17"/>
  <c r="M22" i="17" a="1"/>
  <c r="M22" i="17"/>
  <c r="M23" i="17" a="1"/>
  <c r="M23" i="17"/>
  <c r="M24" i="17" a="1"/>
  <c r="M24" i="17"/>
  <c r="M5" i="17" a="1"/>
  <c r="M5" i="17"/>
  <c r="M25" i="17" a="1"/>
  <c r="M25" i="17" s="1"/>
  <c r="M26" i="17" a="1"/>
  <c r="M26" i="17"/>
  <c r="M27" i="17" a="1"/>
  <c r="M27" i="17" s="1"/>
  <c r="M28" i="17" a="1"/>
  <c r="M28" i="17"/>
  <c r="M29" i="17" a="1"/>
  <c r="M29" i="17"/>
  <c r="M30" i="17" a="1"/>
  <c r="M30" i="17"/>
  <c r="M6" i="17" a="1"/>
  <c r="M6" i="17"/>
  <c r="M31" i="17" a="1"/>
  <c r="M31" i="17"/>
  <c r="M32" i="17" a="1"/>
  <c r="M32" i="17"/>
  <c r="M33" i="17" a="1"/>
  <c r="M33" i="17"/>
  <c r="M34" i="17" a="1"/>
  <c r="M34" i="17" s="1"/>
  <c r="M35" i="17" a="1"/>
  <c r="M35" i="17"/>
  <c r="M36" i="17" a="1"/>
  <c r="M36" i="17" s="1"/>
  <c r="P2" i="17" a="1"/>
  <c r="P2" i="17" s="1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3" i="17" a="1"/>
  <c r="P3" i="17" s="1"/>
  <c r="P13" i="17" a="1"/>
  <c r="P13" i="17" s="1"/>
  <c r="P14" i="17" a="1"/>
  <c r="P14" i="17"/>
  <c r="P15" i="17" a="1"/>
  <c r="P15" i="17"/>
  <c r="P16" i="17" a="1"/>
  <c r="P16" i="17" s="1"/>
  <c r="P17" i="17" a="1"/>
  <c r="P17" i="17"/>
  <c r="P18" i="17" a="1"/>
  <c r="P18" i="17"/>
  <c r="P4" i="17" a="1"/>
  <c r="P4" i="17"/>
  <c r="P19" i="17" a="1"/>
  <c r="P19" i="17"/>
  <c r="P20" i="17" a="1"/>
  <c r="P20" i="17"/>
  <c r="P21" i="17" a="1"/>
  <c r="P21" i="17" s="1"/>
  <c r="P22" i="17" a="1"/>
  <c r="P22" i="17" s="1"/>
  <c r="P23" i="17" a="1"/>
  <c r="P23" i="17"/>
  <c r="P24" i="17" a="1"/>
  <c r="P24" i="17"/>
  <c r="P5" i="17" a="1"/>
  <c r="P5" i="17"/>
  <c r="P25" i="17" a="1"/>
  <c r="P25" i="17" s="1"/>
  <c r="P26" i="17" a="1"/>
  <c r="P26" i="17"/>
  <c r="P27" i="17" a="1"/>
  <c r="P27" i="17"/>
  <c r="P28" i="17" a="1"/>
  <c r="P28" i="17"/>
  <c r="P29" i="17" a="1"/>
  <c r="P29" i="17"/>
  <c r="P30" i="17" a="1"/>
  <c r="P30" i="17" s="1"/>
  <c r="P6" i="17" a="1"/>
  <c r="P6" i="17" s="1"/>
  <c r="P31" i="17" a="1"/>
  <c r="P31" i="17"/>
  <c r="P32" i="17" a="1"/>
  <c r="P32" i="17"/>
  <c r="P33" i="17" a="1"/>
  <c r="P33" i="17"/>
  <c r="P34" i="17" a="1"/>
  <c r="P34" i="17"/>
  <c r="P35" i="17" a="1"/>
  <c r="P35" i="17" s="1"/>
  <c r="P36" i="17" a="1"/>
  <c r="P36" i="17"/>
  <c r="G2" i="16"/>
  <c r="L21" i="20" l="1" a="1"/>
  <c r="L21" i="20" s="1"/>
  <c r="K12" i="20" a="1"/>
  <c r="K12" i="20" s="1"/>
  <c r="O20" i="20" a="1"/>
  <c r="O20" i="20" s="1"/>
  <c r="K4" i="20" a="1"/>
  <c r="K4" i="20" s="1"/>
  <c r="L26" i="20" a="1"/>
  <c r="L26" i="20" s="1"/>
  <c r="P20" i="20" a="1"/>
  <c r="P20" i="20" s="1"/>
  <c r="L25" i="20" a="1"/>
  <c r="L25" i="20" s="1"/>
  <c r="P19" i="20" a="1"/>
  <c r="P19" i="20" s="1"/>
  <c r="L19" i="20" a="1"/>
  <c r="L19" i="20" s="1"/>
  <c r="L18" i="20" a="1"/>
  <c r="L18" i="20" s="1"/>
  <c r="N18" i="20" s="1"/>
  <c r="K9" i="20" a="1"/>
  <c r="K9" i="20" s="1"/>
  <c r="K5" i="20" a="1"/>
  <c r="K5" i="20" s="1"/>
  <c r="L16" i="20" a="1"/>
  <c r="L16" i="20" s="1"/>
  <c r="P24" i="20" a="1"/>
  <c r="P24" i="20" s="1"/>
  <c r="P18" i="20" a="1"/>
  <c r="P18" i="20" s="1"/>
  <c r="L9" i="20" a="1"/>
  <c r="L9" i="20" s="1"/>
  <c r="N9" i="20" s="1"/>
  <c r="L8" i="20" a="1"/>
  <c r="L8" i="20" s="1"/>
  <c r="P21" i="20" a="1"/>
  <c r="P21" i="20" s="1"/>
  <c r="L17" i="20" a="1"/>
  <c r="L17" i="20" s="1"/>
  <c r="O26" i="20" a="1"/>
  <c r="O26" i="20" s="1"/>
  <c r="L7" i="20" a="1"/>
  <c r="L7" i="20" s="1"/>
  <c r="N7" i="20" s="1"/>
  <c r="O7" i="20" a="1"/>
  <c r="O7" i="20" s="1"/>
  <c r="L6" i="20" a="1"/>
  <c r="L6" i="20" s="1"/>
  <c r="N6" i="20" s="1"/>
  <c r="P11" i="20" a="1"/>
  <c r="P11" i="20" s="1"/>
  <c r="K24" i="20" a="1"/>
  <c r="K24" i="20" s="1"/>
  <c r="O15" i="20" a="1"/>
  <c r="O15" i="20" s="1"/>
  <c r="O25" i="20" a="1"/>
  <c r="O25" i="20" s="1"/>
  <c r="O12" i="20" a="1"/>
  <c r="O12" i="20" s="1"/>
  <c r="K22" i="20" a="1"/>
  <c r="K22" i="20" s="1"/>
  <c r="K21" i="20" a="1"/>
  <c r="K21" i="20" s="1"/>
  <c r="N25" i="20"/>
  <c r="N26" i="20"/>
  <c r="N19" i="20"/>
  <c r="N21" i="20"/>
  <c r="N17" i="20"/>
  <c r="N16" i="20"/>
  <c r="N8" i="20"/>
  <c r="O6" i="20" a="1"/>
  <c r="O6" i="20" s="1"/>
  <c r="K3" i="20" a="1"/>
  <c r="K3" i="20" s="1"/>
  <c r="K2" i="20" a="1"/>
  <c r="K2" i="20" s="1"/>
  <c r="O24" i="20" a="1"/>
  <c r="O24" i="20" s="1"/>
  <c r="O14" i="20" a="1"/>
  <c r="O14" i="20" s="1"/>
  <c r="O4" i="20" a="1"/>
  <c r="O4" i="20" s="1"/>
  <c r="K11" i="20" a="1"/>
  <c r="K11" i="20" s="1"/>
  <c r="O23" i="20" a="1"/>
  <c r="O23" i="20" s="1"/>
  <c r="O13" i="20" a="1"/>
  <c r="O13" i="20" s="1"/>
  <c r="O3" i="20" a="1"/>
  <c r="O3" i="20" s="1"/>
  <c r="K20" i="20" a="1"/>
  <c r="K20" i="20" s="1"/>
  <c r="K10" i="20" a="1"/>
  <c r="K10" i="20" s="1"/>
  <c r="O2" i="20" a="1"/>
  <c r="O2" i="20" s="1"/>
  <c r="L5" i="20" a="1"/>
  <c r="L5" i="20" s="1"/>
  <c r="N5" i="20" s="1"/>
  <c r="P7" i="20" a="1"/>
  <c r="P7" i="20" s="1"/>
  <c r="L24" i="20" a="1"/>
  <c r="L24" i="20" s="1"/>
  <c r="N24" i="20" s="1"/>
  <c r="L14" i="20" a="1"/>
  <c r="L14" i="20" s="1"/>
  <c r="N14" i="20" s="1"/>
  <c r="L4" i="20" a="1"/>
  <c r="L4" i="20" s="1"/>
  <c r="N4" i="20" s="1"/>
  <c r="K19" i="20" a="1"/>
  <c r="K19" i="20" s="1"/>
  <c r="L15" i="20" a="1"/>
  <c r="L15" i="20" s="1"/>
  <c r="N15" i="20" s="1"/>
  <c r="P17" i="20" a="1"/>
  <c r="P17" i="20" s="1"/>
  <c r="O22" i="20" a="1"/>
  <c r="O22" i="20" s="1"/>
  <c r="P26" i="20" a="1"/>
  <c r="P26" i="20" s="1"/>
  <c r="P16" i="20" a="1"/>
  <c r="P16" i="20" s="1"/>
  <c r="P6" i="20" a="1"/>
  <c r="P6" i="20" s="1"/>
  <c r="O21" i="20" a="1"/>
  <c r="O21" i="20" s="1"/>
  <c r="O11" i="20" a="1"/>
  <c r="O11" i="20" s="1"/>
  <c r="K8" i="20" a="1"/>
  <c r="K8" i="20" s="1"/>
  <c r="L13" i="20" a="1"/>
  <c r="L13" i="20" s="1"/>
  <c r="N13" i="20" s="1"/>
  <c r="L3" i="20" a="1"/>
  <c r="L3" i="20" s="1"/>
  <c r="N3" i="20" s="1"/>
  <c r="K18" i="20" a="1"/>
  <c r="K18" i="20" s="1"/>
  <c r="P25" i="20" a="1"/>
  <c r="P25" i="20" s="1"/>
  <c r="P15" i="20" a="1"/>
  <c r="P15" i="20" s="1"/>
  <c r="P5" i="20" a="1"/>
  <c r="P5" i="20" s="1"/>
  <c r="O10" i="20" a="1"/>
  <c r="O10" i="20" s="1"/>
  <c r="L23" i="20" a="1"/>
  <c r="L23" i="20" s="1"/>
  <c r="N23" i="20" s="1"/>
  <c r="L22" i="20" a="1"/>
  <c r="L22" i="20" s="1"/>
  <c r="N22" i="20" s="1"/>
  <c r="L12" i="20" a="1"/>
  <c r="L12" i="20" s="1"/>
  <c r="N12" i="20" s="1"/>
  <c r="L2" i="20" a="1"/>
  <c r="L2" i="20" s="1"/>
  <c r="N2" i="20" s="1"/>
  <c r="K17" i="20" a="1"/>
  <c r="K17" i="20" s="1"/>
  <c r="K7" i="20" a="1"/>
  <c r="K7" i="20" s="1"/>
  <c r="O19" i="20" a="1"/>
  <c r="O19" i="20" s="1"/>
  <c r="O9" i="20" a="1"/>
  <c r="O9" i="20" s="1"/>
  <c r="K16" i="20" a="1"/>
  <c r="K16" i="20" s="1"/>
  <c r="K6" i="20" a="1"/>
  <c r="K6" i="20" s="1"/>
  <c r="P14" i="20" a="1"/>
  <c r="P14" i="20" s="1"/>
  <c r="K26" i="20" a="1"/>
  <c r="K26" i="20" s="1"/>
  <c r="P23" i="20" a="1"/>
  <c r="P23" i="20" s="1"/>
  <c r="P13" i="20" a="1"/>
  <c r="P13" i="20" s="1"/>
  <c r="P3" i="20" a="1"/>
  <c r="P3" i="20" s="1"/>
  <c r="O18" i="20" a="1"/>
  <c r="O18" i="20" s="1"/>
  <c r="O8" i="20" a="1"/>
  <c r="O8" i="20" s="1"/>
  <c r="P4" i="20" a="1"/>
  <c r="P4" i="20" s="1"/>
  <c r="L20" i="20" a="1"/>
  <c r="L20" i="20" s="1"/>
  <c r="N20" i="20" s="1"/>
  <c r="L10" i="20" a="1"/>
  <c r="L10" i="20" s="1"/>
  <c r="N10" i="20" s="1"/>
  <c r="K25" i="20" a="1"/>
  <c r="K25" i="20" s="1"/>
  <c r="K15" i="20" a="1"/>
  <c r="K15" i="20" s="1"/>
  <c r="L11" i="20" a="1"/>
  <c r="L11" i="20" s="1"/>
  <c r="N11" i="20" s="1"/>
  <c r="P22" i="20" a="1"/>
  <c r="P22" i="20" s="1"/>
  <c r="P12" i="20" a="1"/>
  <c r="P12" i="20" s="1"/>
  <c r="P2" i="20" a="1"/>
  <c r="P2" i="20" s="1"/>
  <c r="P17" i="18" a="1"/>
  <c r="P17" i="18" s="1"/>
  <c r="P18" i="18" a="1"/>
  <c r="P18" i="18" s="1"/>
  <c r="S26" i="18" a="1"/>
  <c r="S26" i="18" s="1"/>
  <c r="R16" i="18"/>
  <c r="P21" i="18" a="1"/>
  <c r="P21" i="18" s="1"/>
  <c r="S21" i="18" a="1"/>
  <c r="S21" i="18" s="1"/>
  <c r="O11" i="18" a="1"/>
  <c r="O11" i="18" s="1"/>
  <c r="S20" i="18" a="1"/>
  <c r="S20" i="18" s="1"/>
  <c r="O20" i="18" a="1"/>
  <c r="O20" i="18" s="1"/>
  <c r="P20" i="18" a="1"/>
  <c r="P20" i="18" s="1"/>
  <c r="R20" i="18" s="1"/>
  <c r="U20" i="18" s="1"/>
  <c r="O4" i="18" a="1"/>
  <c r="O4" i="18" s="1"/>
  <c r="R18" i="18"/>
  <c r="U18" i="18" s="1"/>
  <c r="O19" i="18" a="1"/>
  <c r="O19" i="18" s="1"/>
  <c r="S19" i="18" a="1"/>
  <c r="S19" i="18" s="1"/>
  <c r="O3" i="18" a="1"/>
  <c r="O3" i="18" s="1"/>
  <c r="P7" i="18" a="1"/>
  <c r="P7" i="18" s="1"/>
  <c r="R7" i="18" s="1"/>
  <c r="U7" i="18" s="1"/>
  <c r="R6" i="18"/>
  <c r="U6" i="18" s="1"/>
  <c r="T16" i="18" a="1"/>
  <c r="T16" i="18" s="1"/>
  <c r="O16" i="18" a="1"/>
  <c r="O16" i="18" s="1"/>
  <c r="T20" i="18" a="1"/>
  <c r="T20" i="18" s="1"/>
  <c r="P6" i="18" a="1"/>
  <c r="P6" i="18" s="1"/>
  <c r="O24" i="18" a="1"/>
  <c r="O24" i="18" s="1"/>
  <c r="T13" i="18" a="1"/>
  <c r="T13" i="18" s="1"/>
  <c r="O23" i="18" a="1"/>
  <c r="O23" i="18" s="1"/>
  <c r="T11" i="18" a="1"/>
  <c r="T11" i="18" s="1"/>
  <c r="S6" i="18" a="1"/>
  <c r="S6" i="18" s="1"/>
  <c r="T5" i="18" a="1"/>
  <c r="T5" i="18" s="1"/>
  <c r="P26" i="18" a="1"/>
  <c r="P26" i="18" s="1"/>
  <c r="R26" i="18" s="1"/>
  <c r="U26" i="18" s="1"/>
  <c r="R23" i="18"/>
  <c r="U23" i="18" s="1"/>
  <c r="S5" i="18" a="1"/>
  <c r="S5" i="18" s="1"/>
  <c r="S7" i="18" a="1"/>
  <c r="S7" i="18" s="1"/>
  <c r="O14" i="18" a="1"/>
  <c r="O14" i="18" s="1"/>
  <c r="O6" i="18" a="1"/>
  <c r="O6" i="18" s="1"/>
  <c r="S4" i="18" a="1"/>
  <c r="S4" i="18" s="1"/>
  <c r="O25" i="18" a="1"/>
  <c r="O25" i="18" s="1"/>
  <c r="T23" i="18" a="1"/>
  <c r="T23" i="18" s="1"/>
  <c r="O13" i="18" a="1"/>
  <c r="O13" i="18" s="1"/>
  <c r="T22" i="18" a="1"/>
  <c r="T22" i="18" s="1"/>
  <c r="T2" i="18" a="1"/>
  <c r="T2" i="18" s="1"/>
  <c r="P9" i="18" a="1"/>
  <c r="P9" i="18" s="1"/>
  <c r="R9" i="18" s="1"/>
  <c r="U9" i="18" s="1"/>
  <c r="S24" i="18" a="1"/>
  <c r="S24" i="18" s="1"/>
  <c r="P8" i="18" a="1"/>
  <c r="P8" i="18" s="1"/>
  <c r="R8" i="18" s="1"/>
  <c r="U8" i="18" s="1"/>
  <c r="S18" i="18" a="1"/>
  <c r="S18" i="18" s="1"/>
  <c r="O18" i="18" a="1"/>
  <c r="O18" i="18" s="1"/>
  <c r="T18" i="18" a="1"/>
  <c r="T18" i="18" s="1"/>
  <c r="T21" i="18" a="1"/>
  <c r="T21" i="18" s="1"/>
  <c r="R17" i="18"/>
  <c r="U17" i="18" s="1"/>
  <c r="S17" i="18" a="1"/>
  <c r="S17" i="18" s="1"/>
  <c r="O17" i="18" a="1"/>
  <c r="O17" i="18" s="1"/>
  <c r="T17" i="18" a="1"/>
  <c r="T17" i="18" s="1"/>
  <c r="S16" i="18" a="1"/>
  <c r="S16" i="18" s="1"/>
  <c r="O2" i="18" a="1"/>
  <c r="O2" i="18" s="1"/>
  <c r="U16" i="18"/>
  <c r="P15" i="18" a="1"/>
  <c r="P15" i="18" s="1"/>
  <c r="R15" i="18" s="1"/>
  <c r="U15" i="18" s="1"/>
  <c r="S13" i="18" a="1"/>
  <c r="S13" i="18" s="1"/>
  <c r="T8" i="18" a="1"/>
  <c r="T8" i="18" s="1"/>
  <c r="O15" i="18" a="1"/>
  <c r="O15" i="18" s="1"/>
  <c r="T15" i="18" a="1"/>
  <c r="T15" i="18" s="1"/>
  <c r="S3" i="18" a="1"/>
  <c r="S3" i="18" s="1"/>
  <c r="S23" i="18" a="1"/>
  <c r="S23" i="18" s="1"/>
  <c r="S15" i="18" a="1"/>
  <c r="S15" i="18" s="1"/>
  <c r="P5" i="18" a="1"/>
  <c r="P5" i="18" s="1"/>
  <c r="R5" i="18" s="1"/>
  <c r="U5" i="18" s="1"/>
  <c r="T19" i="18" a="1"/>
  <c r="T19" i="18" s="1"/>
  <c r="S14" i="18" a="1"/>
  <c r="S14" i="18" s="1"/>
  <c r="T12" i="18" a="1"/>
  <c r="T12" i="18" s="1"/>
  <c r="S11" i="18" a="1"/>
  <c r="S11" i="18" s="1"/>
  <c r="S10" i="18" a="1"/>
  <c r="S10" i="18" s="1"/>
  <c r="O22" i="18" a="1"/>
  <c r="O22" i="18" s="1"/>
  <c r="U13" i="18"/>
  <c r="T10" i="18" a="1"/>
  <c r="T10" i="18" s="1"/>
  <c r="P2" i="18" a="1"/>
  <c r="P2" i="18" s="1"/>
  <c r="R2" i="18" s="1"/>
  <c r="U2" i="18" s="1"/>
  <c r="R21" i="18"/>
  <c r="U21" i="18" s="1"/>
  <c r="P19" i="18" a="1"/>
  <c r="P19" i="18" s="1"/>
  <c r="R19" i="18" s="1"/>
  <c r="U19" i="18" s="1"/>
  <c r="O21" i="18" a="1"/>
  <c r="O21" i="18" s="1"/>
  <c r="U12" i="18"/>
  <c r="T9" i="18" a="1"/>
  <c r="T9" i="18" s="1"/>
  <c r="O26" i="18" a="1"/>
  <c r="O26" i="18" s="1"/>
  <c r="O12" i="18" a="1"/>
  <c r="O12" i="18" s="1"/>
  <c r="O10" i="18" a="1"/>
  <c r="O10" i="18" s="1"/>
  <c r="T7" i="18" a="1"/>
  <c r="T7" i="18" s="1"/>
  <c r="S12" i="18" a="1"/>
  <c r="S12" i="18" s="1"/>
  <c r="P24" i="18" a="1"/>
  <c r="P24" i="18" s="1"/>
  <c r="R24" i="18" s="1"/>
  <c r="U24" i="18" s="1"/>
  <c r="P14" i="18" a="1"/>
  <c r="P14" i="18" s="1"/>
  <c r="R14" i="18" s="1"/>
  <c r="U14" i="18" s="1"/>
  <c r="O9" i="18" a="1"/>
  <c r="O9" i="18" s="1"/>
  <c r="T6" i="18" a="1"/>
  <c r="T6" i="18" s="1"/>
  <c r="P3" i="18" a="1"/>
  <c r="P3" i="18" s="1"/>
  <c r="R3" i="18" s="1"/>
  <c r="U3" i="18" s="1"/>
  <c r="T25" i="18" a="1"/>
  <c r="T25" i="18" s="1"/>
  <c r="P22" i="18" a="1"/>
  <c r="P22" i="18" s="1"/>
  <c r="R22" i="18" s="1"/>
  <c r="U22" i="18" s="1"/>
  <c r="P12" i="18" a="1"/>
  <c r="P12" i="18" s="1"/>
  <c r="R12" i="18" s="1"/>
  <c r="O7" i="18" a="1"/>
  <c r="O7" i="18" s="1"/>
  <c r="T24" i="18" a="1"/>
  <c r="T24" i="18" s="1"/>
  <c r="T14" i="18" a="1"/>
  <c r="T14" i="18" s="1"/>
  <c r="S9" i="18" a="1"/>
  <c r="S9" i="18" s="1"/>
  <c r="P11" i="18" a="1"/>
  <c r="P11" i="18" s="1"/>
  <c r="R11" i="18" s="1"/>
  <c r="U11" i="18" s="1"/>
  <c r="T3" i="18" a="1"/>
  <c r="T3" i="18" s="1"/>
  <c r="S8" i="18" a="1"/>
  <c r="S8" i="18" s="1"/>
  <c r="P10" i="18" a="1"/>
  <c r="P10" i="18" s="1"/>
  <c r="R10" i="18" s="1"/>
  <c r="U10" i="18" s="1"/>
  <c r="O5" i="18" a="1"/>
  <c r="O5" i="18" s="1"/>
  <c r="P25" i="18" a="1"/>
  <c r="P25" i="18" s="1"/>
  <c r="R25" i="18" s="1"/>
  <c r="U25" i="18" s="1"/>
  <c r="S22" i="18" a="1"/>
  <c r="S22" i="18" s="1"/>
  <c r="S2" i="18" a="1"/>
  <c r="S2" i="18" s="1"/>
  <c r="P4" i="18" a="1"/>
  <c r="P4" i="18" s="1"/>
  <c r="R4" i="18" s="1"/>
  <c r="U4" i="18" s="1"/>
  <c r="T26" i="18" a="1"/>
  <c r="T26" i="18" s="1"/>
  <c r="P23" i="18" a="1"/>
  <c r="P23" i="18" s="1"/>
  <c r="P13" i="18" a="1"/>
  <c r="P13" i="18" s="1"/>
  <c r="R13" i="18" s="1"/>
  <c r="O8" i="18" a="1"/>
  <c r="O8" i="18" s="1"/>
  <c r="T4" i="18" a="1"/>
  <c r="T4" i="18" s="1"/>
  <c r="T36" i="17" a="1"/>
  <c r="T36" i="17" s="1"/>
  <c r="O24" i="17" a="1"/>
  <c r="O24" i="17" s="1"/>
  <c r="U6" i="17" a="1"/>
  <c r="U6" i="17" s="1"/>
  <c r="U29" i="17" a="1"/>
  <c r="U29" i="17" s="1"/>
  <c r="T33" i="17" a="1"/>
  <c r="T33" i="17" s="1"/>
  <c r="O34" i="17" a="1"/>
  <c r="O34" i="17" s="1"/>
  <c r="R15" i="17" a="1"/>
  <c r="R15" i="17" s="1"/>
  <c r="U21" i="17" a="1"/>
  <c r="U21" i="17" s="1"/>
  <c r="T8" i="17" a="1"/>
  <c r="T8" i="17" s="1"/>
  <c r="U35" i="17" a="1"/>
  <c r="U35" i="17" s="1"/>
  <c r="R33" i="17" a="1"/>
  <c r="R33" i="17" s="1"/>
  <c r="V5" i="17" a="1"/>
  <c r="V5" i="17" s="1"/>
  <c r="Y25" i="17"/>
  <c r="N23" i="17" a="1"/>
  <c r="N23" i="17" s="1"/>
  <c r="X23" i="17" a="1"/>
  <c r="X23" i="17" s="1"/>
  <c r="Y23" i="17" s="1"/>
  <c r="Q23" i="17" s="1"/>
  <c r="W23" i="17" s="1"/>
  <c r="R23" i="17" a="1"/>
  <c r="R23" i="17" s="1"/>
  <c r="U23" i="17" a="1"/>
  <c r="U23" i="17" s="1"/>
  <c r="V23" i="17" a="1"/>
  <c r="V23" i="17" s="1"/>
  <c r="R26" i="17" a="1"/>
  <c r="R26" i="17" s="1"/>
  <c r="R22" i="17" a="1"/>
  <c r="R22" i="17" s="1"/>
  <c r="T22" i="17" a="1"/>
  <c r="T22" i="17" s="1"/>
  <c r="N22" i="17" a="1"/>
  <c r="N22" i="17" s="1"/>
  <c r="X22" i="17" a="1"/>
  <c r="X22" i="17" s="1"/>
  <c r="Y22" i="17" s="1"/>
  <c r="V22" i="17" a="1"/>
  <c r="V22" i="17" s="1"/>
  <c r="S22" i="17" a="1"/>
  <c r="S22" i="17" s="1"/>
  <c r="T35" i="17" a="1"/>
  <c r="T35" i="17" s="1"/>
  <c r="V17" i="17" a="1"/>
  <c r="V17" i="17" s="1"/>
  <c r="R4" i="17" a="1"/>
  <c r="R4" i="17" s="1"/>
  <c r="T34" i="17" a="1"/>
  <c r="T34" i="17" s="1"/>
  <c r="X15" i="17" a="1"/>
  <c r="X15" i="17" s="1"/>
  <c r="Y15" i="17" s="1"/>
  <c r="R18" i="17" a="1"/>
  <c r="R18" i="17" s="1"/>
  <c r="O36" i="17" a="1"/>
  <c r="O36" i="17" s="1"/>
  <c r="X36" i="17" a="1"/>
  <c r="X36" i="17" s="1"/>
  <c r="Y36" i="17" s="1"/>
  <c r="Q36" i="17" s="1"/>
  <c r="W36" i="17" s="1"/>
  <c r="R36" i="17" a="1"/>
  <c r="R36" i="17" s="1"/>
  <c r="N36" i="17" a="1"/>
  <c r="N36" i="17" s="1"/>
  <c r="S36" i="17" a="1"/>
  <c r="S36" i="17" s="1"/>
  <c r="O14" i="17" a="1"/>
  <c r="O14" i="17" s="1"/>
  <c r="U18" i="17" a="1"/>
  <c r="U18" i="17" s="1"/>
  <c r="O18" i="17" a="1"/>
  <c r="O18" i="17" s="1"/>
  <c r="X18" i="17" a="1"/>
  <c r="X18" i="17" s="1"/>
  <c r="Y18" i="17" s="1"/>
  <c r="Q18" i="17" s="1"/>
  <c r="W18" i="17" s="1"/>
  <c r="S18" i="17" a="1"/>
  <c r="S18" i="17" s="1"/>
  <c r="V18" i="17" a="1"/>
  <c r="V18" i="17" s="1"/>
  <c r="T18" i="17" a="1"/>
  <c r="T18" i="17" s="1"/>
  <c r="V15" i="17" a="1"/>
  <c r="V15" i="17" s="1"/>
  <c r="N25" i="17" a="1"/>
  <c r="N25" i="17" s="1"/>
  <c r="S17" i="17" a="1"/>
  <c r="S17" i="17" s="1"/>
  <c r="U17" i="17" a="1"/>
  <c r="U17" i="17" s="1"/>
  <c r="O17" i="17" a="1"/>
  <c r="O17" i="17" s="1"/>
  <c r="T17" i="17" a="1"/>
  <c r="T17" i="17" s="1"/>
  <c r="S12" i="17" a="1"/>
  <c r="S12" i="17" s="1"/>
  <c r="U16" i="17" a="1"/>
  <c r="U16" i="17" s="1"/>
  <c r="S16" i="17" a="1"/>
  <c r="S16" i="17" s="1"/>
  <c r="O16" i="17" a="1"/>
  <c r="O16" i="17" s="1"/>
  <c r="T16" i="17" a="1"/>
  <c r="T16" i="17" s="1"/>
  <c r="X7" i="17" a="1"/>
  <c r="X7" i="17" s="1"/>
  <c r="Y7" i="17" s="1"/>
  <c r="U20" i="17" a="1"/>
  <c r="U20" i="17" s="1"/>
  <c r="N18" i="17" a="1"/>
  <c r="N18" i="17" s="1"/>
  <c r="S32" i="17" a="1"/>
  <c r="S32" i="17" s="1"/>
  <c r="U32" i="17" a="1"/>
  <c r="U32" i="17" s="1"/>
  <c r="N32" i="17" a="1"/>
  <c r="N32" i="17" s="1"/>
  <c r="O32" i="17" a="1"/>
  <c r="O32" i="17" s="1"/>
  <c r="V32" i="17" a="1"/>
  <c r="V32" i="17" s="1"/>
  <c r="T32" i="17" a="1"/>
  <c r="T32" i="17" s="1"/>
  <c r="V35" i="17" a="1"/>
  <c r="V35" i="17" s="1"/>
  <c r="O3" i="17" a="1"/>
  <c r="O3" i="17" s="1"/>
  <c r="N31" i="17" a="1"/>
  <c r="N31" i="17" s="1"/>
  <c r="V31" i="17" a="1"/>
  <c r="V31" i="17" s="1"/>
  <c r="T31" i="17" a="1"/>
  <c r="T31" i="17" s="1"/>
  <c r="S31" i="17" a="1"/>
  <c r="S31" i="17" s="1"/>
  <c r="O31" i="17" a="1"/>
  <c r="O31" i="17" s="1"/>
  <c r="N14" i="17" a="1"/>
  <c r="N14" i="17" s="1"/>
  <c r="U14" i="17" a="1"/>
  <c r="U14" i="17" s="1"/>
  <c r="O2" i="17" a="1"/>
  <c r="O2" i="17" s="1"/>
  <c r="R14" i="17" a="1"/>
  <c r="R14" i="17" s="1"/>
  <c r="T2" i="17" a="1"/>
  <c r="T2" i="17" s="1"/>
  <c r="Y34" i="17"/>
  <c r="Q34" i="17" s="1"/>
  <c r="W34" i="17" s="1"/>
  <c r="V13" i="17" a="1"/>
  <c r="V13" i="17" s="1"/>
  <c r="U19" i="17" a="1"/>
  <c r="U19" i="17" s="1"/>
  <c r="V6" i="17" a="1"/>
  <c r="V6" i="17" s="1"/>
  <c r="T27" i="17" a="1"/>
  <c r="T27" i="17" s="1"/>
  <c r="S28" i="17" a="1"/>
  <c r="S28" i="17" s="1"/>
  <c r="V27" i="17" a="1"/>
  <c r="V27" i="17" s="1"/>
  <c r="O33" i="17" a="1"/>
  <c r="O33" i="17" s="1"/>
  <c r="X25" i="17" a="1"/>
  <c r="X25" i="17" s="1"/>
  <c r="O29" i="17" a="1"/>
  <c r="O29" i="17" s="1"/>
  <c r="O25" i="17" a="1"/>
  <c r="O25" i="17" s="1"/>
  <c r="U10" i="17" a="1"/>
  <c r="U10" i="17" s="1"/>
  <c r="T4" i="17" a="1"/>
  <c r="T4" i="17" s="1"/>
  <c r="N30" i="17" a="1"/>
  <c r="N30" i="17" s="1"/>
  <c r="T10" i="17" a="1"/>
  <c r="T10" i="17" s="1"/>
  <c r="V24" i="17" a="1"/>
  <c r="V24" i="17" s="1"/>
  <c r="S14" i="17" a="1"/>
  <c r="S14" i="17" s="1"/>
  <c r="O23" i="17" a="1"/>
  <c r="O23" i="17" s="1"/>
  <c r="R21" i="17" a="1"/>
  <c r="R21" i="17" s="1"/>
  <c r="T21" i="17" a="1"/>
  <c r="T21" i="17" s="1"/>
  <c r="V21" i="17" a="1"/>
  <c r="V21" i="17" s="1"/>
  <c r="N21" i="17" a="1"/>
  <c r="N21" i="17" s="1"/>
  <c r="S21" i="17" a="1"/>
  <c r="S21" i="17" s="1"/>
  <c r="O21" i="17" a="1"/>
  <c r="O21" i="17" s="1"/>
  <c r="T9" i="17" a="1"/>
  <c r="T9" i="17" s="1"/>
  <c r="X32" i="17" a="1"/>
  <c r="X32" i="17" s="1"/>
  <c r="Y32" i="17" s="1"/>
  <c r="Q32" i="17" s="1"/>
  <c r="W32" i="17" s="1"/>
  <c r="X31" i="17" a="1"/>
  <c r="X31" i="17" s="1"/>
  <c r="Y31" i="17" s="1"/>
  <c r="T7" i="17" a="1"/>
  <c r="T7" i="17" s="1"/>
  <c r="T25" i="17" a="1"/>
  <c r="T25" i="17" s="1"/>
  <c r="X6" i="17" a="1"/>
  <c r="X6" i="17" s="1"/>
  <c r="Y6" i="17" s="1"/>
  <c r="S30" i="17" a="1"/>
  <c r="S30" i="17" s="1"/>
  <c r="T5" i="17" a="1"/>
  <c r="T5" i="17" s="1"/>
  <c r="X30" i="17" a="1"/>
  <c r="X30" i="17" s="1"/>
  <c r="Y30" i="17" s="1"/>
  <c r="Q30" i="17" s="1"/>
  <c r="W30" i="17" s="1"/>
  <c r="S29" i="17" a="1"/>
  <c r="S29" i="17" s="1"/>
  <c r="N17" i="17" a="1"/>
  <c r="N17" i="17" s="1"/>
  <c r="T24" i="17" a="1"/>
  <c r="T24" i="17" s="1"/>
  <c r="X29" i="17" a="1"/>
  <c r="X29" i="17" s="1"/>
  <c r="R7" i="17" a="1"/>
  <c r="R7" i="17" s="1"/>
  <c r="N3" i="17" a="1"/>
  <c r="N3" i="17" s="1"/>
  <c r="Y29" i="17"/>
  <c r="Q29" i="17" s="1"/>
  <c r="W29" i="17" s="1"/>
  <c r="R2" i="17" a="1"/>
  <c r="R2" i="17" s="1"/>
  <c r="V26" i="17" a="1"/>
  <c r="V26" i="17" s="1"/>
  <c r="R31" i="17" a="1"/>
  <c r="R31" i="17" s="1"/>
  <c r="V25" i="17" a="1"/>
  <c r="V25" i="17" s="1"/>
  <c r="T14" i="17" a="1"/>
  <c r="T14" i="17" s="1"/>
  <c r="S23" i="17" a="1"/>
  <c r="S23" i="17" s="1"/>
  <c r="O5" i="17" a="1"/>
  <c r="O5" i="17" s="1"/>
  <c r="N11" i="17" a="1"/>
  <c r="N11" i="17" s="1"/>
  <c r="X17" i="17" a="1"/>
  <c r="X17" i="17" s="1"/>
  <c r="Y17" i="17" s="1"/>
  <c r="N28" i="17" a="1"/>
  <c r="N28" i="17" s="1"/>
  <c r="U30" i="17" a="1"/>
  <c r="U30" i="17" s="1"/>
  <c r="X16" i="17" a="1"/>
  <c r="X16" i="17" s="1"/>
  <c r="Y16" i="17" s="1"/>
  <c r="N27" i="17" a="1"/>
  <c r="N27" i="17" s="1"/>
  <c r="R20" i="17" a="1"/>
  <c r="R20" i="17" s="1"/>
  <c r="T20" i="17" a="1"/>
  <c r="T20" i="17" s="1"/>
  <c r="V20" i="17" a="1"/>
  <c r="V20" i="17" s="1"/>
  <c r="N20" i="17" a="1"/>
  <c r="N20" i="17" s="1"/>
  <c r="S20" i="17" a="1"/>
  <c r="S20" i="17" s="1"/>
  <c r="O20" i="17" a="1"/>
  <c r="O20" i="17" s="1"/>
  <c r="S13" i="17" a="1"/>
  <c r="S13" i="17" s="1"/>
  <c r="O22" i="17" a="1"/>
  <c r="O22" i="17" s="1"/>
  <c r="R19" i="17" a="1"/>
  <c r="R19" i="17" s="1"/>
  <c r="T19" i="17" a="1"/>
  <c r="T19" i="17" s="1"/>
  <c r="V19" i="17" a="1"/>
  <c r="V19" i="17" s="1"/>
  <c r="X19" i="17" a="1"/>
  <c r="X19" i="17" s="1"/>
  <c r="Y19" i="17" s="1"/>
  <c r="Q19" i="17" s="1"/>
  <c r="W19" i="17" s="1"/>
  <c r="O19" i="17" a="1"/>
  <c r="O19" i="17" s="1"/>
  <c r="N19" i="17" a="1"/>
  <c r="N19" i="17" s="1"/>
  <c r="S19" i="17" a="1"/>
  <c r="S19" i="17" s="1"/>
  <c r="V16" i="17" a="1"/>
  <c r="V16" i="17" s="1"/>
  <c r="U22" i="17" a="1"/>
  <c r="U22" i="17" s="1"/>
  <c r="N26" i="17" a="1"/>
  <c r="N26" i="17" s="1"/>
  <c r="X4" i="17" a="1"/>
  <c r="X4" i="17" s="1"/>
  <c r="Y4" i="17" s="1"/>
  <c r="O4" i="17" a="1"/>
  <c r="O4" i="17" s="1"/>
  <c r="N4" i="17" a="1"/>
  <c r="N4" i="17" s="1"/>
  <c r="S4" i="17" a="1"/>
  <c r="S4" i="17" s="1"/>
  <c r="V4" i="17" a="1"/>
  <c r="V4" i="17" s="1"/>
  <c r="S3" i="17" a="1"/>
  <c r="S3" i="17" s="1"/>
  <c r="O35" i="17" a="1"/>
  <c r="O35" i="17" s="1"/>
  <c r="X35" i="17" a="1"/>
  <c r="X35" i="17" s="1"/>
  <c r="Y35" i="17" s="1"/>
  <c r="Q35" i="17" s="1"/>
  <c r="W35" i="17" s="1"/>
  <c r="S35" i="17" a="1"/>
  <c r="S35" i="17" s="1"/>
  <c r="N35" i="17" a="1"/>
  <c r="N35" i="17" s="1"/>
  <c r="R35" i="17" a="1"/>
  <c r="R35" i="17" s="1"/>
  <c r="X14" i="17" a="1"/>
  <c r="X14" i="17" s="1"/>
  <c r="Y14" i="17" s="1"/>
  <c r="R17" i="17" a="1"/>
  <c r="R17" i="17" s="1"/>
  <c r="S34" i="17" a="1"/>
  <c r="S34" i="17" s="1"/>
  <c r="U34" i="17" a="1"/>
  <c r="U34" i="17" s="1"/>
  <c r="R34" i="17" a="1"/>
  <c r="R34" i="17" s="1"/>
  <c r="X34" i="17" a="1"/>
  <c r="X34" i="17" s="1"/>
  <c r="V34" i="17" a="1"/>
  <c r="V34" i="17" s="1"/>
  <c r="N34" i="17" a="1"/>
  <c r="N34" i="17" s="1"/>
  <c r="V36" i="17" a="1"/>
  <c r="V36" i="17" s="1"/>
  <c r="O13" i="17" a="1"/>
  <c r="O13" i="17" s="1"/>
  <c r="S33" i="17" a="1"/>
  <c r="S33" i="17" s="1"/>
  <c r="U33" i="17" a="1"/>
  <c r="U33" i="17" s="1"/>
  <c r="N33" i="17" a="1"/>
  <c r="N33" i="17" s="1"/>
  <c r="X33" i="17" a="1"/>
  <c r="X33" i="17" s="1"/>
  <c r="Y33" i="17" s="1"/>
  <c r="Q33" i="17" s="1"/>
  <c r="W33" i="17" s="1"/>
  <c r="V33" i="17" a="1"/>
  <c r="V33" i="17" s="1"/>
  <c r="V14" i="17" a="1"/>
  <c r="V14" i="17" s="1"/>
  <c r="R16" i="17" a="1"/>
  <c r="R16" i="17" s="1"/>
  <c r="S15" i="17" a="1"/>
  <c r="S15" i="17" s="1"/>
  <c r="U15" i="17" a="1"/>
  <c r="U15" i="17" s="1"/>
  <c r="N15" i="17" a="1"/>
  <c r="N15" i="17" s="1"/>
  <c r="O15" i="17" a="1"/>
  <c r="O15" i="17" s="1"/>
  <c r="T15" i="17" a="1"/>
  <c r="T15" i="17" s="1"/>
  <c r="S11" i="17" a="1"/>
  <c r="S11" i="17" s="1"/>
  <c r="X2" i="17" a="1"/>
  <c r="X2" i="17" s="1"/>
  <c r="Y2" i="17" s="1"/>
  <c r="N5" i="17" a="1"/>
  <c r="N5" i="17" s="1"/>
  <c r="O12" i="17" a="1"/>
  <c r="O12" i="17" s="1"/>
  <c r="V10" i="17" a="1"/>
  <c r="V10" i="17" s="1"/>
  <c r="U4" i="17" a="1"/>
  <c r="U4" i="17" s="1"/>
  <c r="O8" i="17" a="1"/>
  <c r="O8" i="17" s="1"/>
  <c r="N16" i="17" a="1"/>
  <c r="N16" i="17" s="1"/>
  <c r="Y5" i="17"/>
  <c r="U36" i="17" a="1"/>
  <c r="U36" i="17" s="1"/>
  <c r="T23" i="17" a="1"/>
  <c r="T23" i="17" s="1"/>
  <c r="R32" i="17" a="1"/>
  <c r="R32" i="17" s="1"/>
  <c r="S27" i="17" a="1"/>
  <c r="S27" i="17" s="1"/>
  <c r="O7" i="17" a="1"/>
  <c r="O7" i="17" s="1"/>
  <c r="N12" i="17" a="1"/>
  <c r="N12" i="17" s="1"/>
  <c r="X21" i="17" a="1"/>
  <c r="X21" i="17" s="1"/>
  <c r="U31" i="17" a="1"/>
  <c r="U31" i="17" s="1"/>
  <c r="X20" i="17" a="1"/>
  <c r="X20" i="17" s="1"/>
  <c r="Y20" i="17" s="1"/>
  <c r="Q20" i="17" s="1"/>
  <c r="W20" i="17" s="1"/>
  <c r="R27" i="17" a="1"/>
  <c r="R27" i="17" s="1"/>
  <c r="N29" i="17" a="1"/>
  <c r="N29" i="17" s="1"/>
  <c r="N6" i="17" a="1"/>
  <c r="N6" i="17" s="1"/>
  <c r="R6" i="17" a="1"/>
  <c r="R6" i="17" s="1"/>
  <c r="T6" i="17" a="1"/>
  <c r="T6" i="17" s="1"/>
  <c r="U28" i="17" a="1"/>
  <c r="U28" i="17" s="1"/>
  <c r="R30" i="17" a="1"/>
  <c r="R30" i="17" s="1"/>
  <c r="T30" i="17" a="1"/>
  <c r="T30" i="17" s="1"/>
  <c r="V30" i="17" a="1"/>
  <c r="V30" i="17" s="1"/>
  <c r="R29" i="17" a="1"/>
  <c r="R29" i="17" s="1"/>
  <c r="U27" i="17" a="1"/>
  <c r="U27" i="17" s="1"/>
  <c r="R10" i="17" a="1"/>
  <c r="R10" i="17" s="1"/>
  <c r="R11" i="17" a="1"/>
  <c r="R11" i="17" s="1"/>
  <c r="X27" i="17" a="1"/>
  <c r="X27" i="17" s="1"/>
  <c r="Y27" i="17" s="1"/>
  <c r="Q27" i="17" s="1"/>
  <c r="W27" i="17" s="1"/>
  <c r="U26" i="17" a="1"/>
  <c r="U26" i="17" s="1"/>
  <c r="N8" i="17" a="1"/>
  <c r="N8" i="17" s="1"/>
  <c r="X12" i="17" a="1"/>
  <c r="X12" i="17" s="1"/>
  <c r="Y12" i="17" s="1"/>
  <c r="U12" i="17" a="1"/>
  <c r="U12" i="17" s="1"/>
  <c r="Y21" i="17"/>
  <c r="R13" i="17" a="1"/>
  <c r="R13" i="17" s="1"/>
  <c r="T13" i="17" a="1"/>
  <c r="T13" i="17" s="1"/>
  <c r="N13" i="17" a="1"/>
  <c r="N13" i="17" s="1"/>
  <c r="S10" i="17" a="1"/>
  <c r="S10" i="17" s="1"/>
  <c r="N10" i="17" a="1"/>
  <c r="N10" i="17" s="1"/>
  <c r="S9" i="17" a="1"/>
  <c r="S9" i="17" s="1"/>
  <c r="T3" i="17" a="1"/>
  <c r="T3" i="17" s="1"/>
  <c r="S26" i="17" a="1"/>
  <c r="S26" i="17" s="1"/>
  <c r="R3" i="17" a="1"/>
  <c r="R3" i="17" s="1"/>
  <c r="V3" i="17" a="1"/>
  <c r="V3" i="17" s="1"/>
  <c r="X28" i="17" a="1"/>
  <c r="X28" i="17" s="1"/>
  <c r="Y28" i="17" s="1"/>
  <c r="U9" i="17" a="1"/>
  <c r="U9" i="17" s="1"/>
  <c r="X13" i="17" a="1"/>
  <c r="X13" i="17" s="1"/>
  <c r="Y13" i="17" s="1"/>
  <c r="U13" i="17" a="1"/>
  <c r="U13" i="17" s="1"/>
  <c r="V8" i="17" a="1"/>
  <c r="V8" i="17" s="1"/>
  <c r="N9" i="17" a="1"/>
  <c r="N9" i="17" s="1"/>
  <c r="X24" i="17" a="1"/>
  <c r="X24" i="17" s="1"/>
  <c r="Y24" i="17" s="1"/>
  <c r="Q24" i="17" s="1"/>
  <c r="W24" i="17" s="1"/>
  <c r="U3" i="17" a="1"/>
  <c r="U3" i="17" s="1"/>
  <c r="O10" i="17" a="1"/>
  <c r="O10" i="17" s="1"/>
  <c r="R24" i="17" a="1"/>
  <c r="R24" i="17" s="1"/>
  <c r="O6" i="17" a="1"/>
  <c r="O6" i="17" s="1"/>
  <c r="O26" i="17" a="1"/>
  <c r="O26" i="17" s="1"/>
  <c r="V2" i="17" a="1"/>
  <c r="V2" i="17" s="1"/>
  <c r="S6" i="17" a="1"/>
  <c r="S6" i="17" s="1"/>
  <c r="R8" i="17" a="1"/>
  <c r="R8" i="17" s="1"/>
  <c r="O30" i="17" a="1"/>
  <c r="O30" i="17" s="1"/>
  <c r="N7" i="17" a="1"/>
  <c r="N7" i="17" s="1"/>
  <c r="V9" i="17" a="1"/>
  <c r="V9" i="17" s="1"/>
  <c r="R25" i="17" a="1"/>
  <c r="R25" i="17" s="1"/>
  <c r="X5" i="17" a="1"/>
  <c r="X5" i="17" s="1"/>
  <c r="O11" i="17" a="1"/>
  <c r="O11" i="17" s="1"/>
  <c r="R5" i="17" a="1"/>
  <c r="R5" i="17" s="1"/>
  <c r="R28" i="17" a="1"/>
  <c r="R28" i="17" s="1"/>
  <c r="X3" i="17" a="1"/>
  <c r="X3" i="17" s="1"/>
  <c r="Y3" i="17" s="1"/>
  <c r="Q3" i="17" s="1"/>
  <c r="W3" i="17" s="1"/>
  <c r="V7" i="17" a="1"/>
  <c r="V7" i="17" s="1"/>
  <c r="R9" i="17" a="1"/>
  <c r="R9" i="17" s="1"/>
  <c r="S2" i="17" a="1"/>
  <c r="S2" i="17" s="1"/>
  <c r="X8" i="17" a="1"/>
  <c r="X8" i="17" s="1"/>
  <c r="Y8" i="17" s="1"/>
  <c r="Q8" i="17" s="1"/>
  <c r="W8" i="17" s="1"/>
  <c r="U11" i="17" a="1"/>
  <c r="U11" i="17" s="1"/>
  <c r="T26" i="17" a="1"/>
  <c r="T26" i="17" s="1"/>
  <c r="O28" i="17" a="1"/>
  <c r="O28" i="17" s="1"/>
  <c r="N24" i="17" a="1"/>
  <c r="N24" i="17" s="1"/>
  <c r="S8" i="17" a="1"/>
  <c r="S8" i="17" s="1"/>
  <c r="X10" i="17" a="1"/>
  <c r="X10" i="17" s="1"/>
  <c r="Y10" i="17" s="1"/>
  <c r="O27" i="17" a="1"/>
  <c r="O27" i="17" s="1"/>
  <c r="V29" i="17" a="1"/>
  <c r="V29" i="17" s="1"/>
  <c r="V12" i="17" a="1"/>
  <c r="V12" i="17" s="1"/>
  <c r="U7" i="17" a="1"/>
  <c r="U7" i="17" s="1"/>
  <c r="T29" i="17" a="1"/>
  <c r="T29" i="17" s="1"/>
  <c r="T12" i="17" a="1"/>
  <c r="T12" i="17" s="1"/>
  <c r="S5" i="17" a="1"/>
  <c r="S5" i="17" s="1"/>
  <c r="S7" i="17" a="1"/>
  <c r="S7" i="17" s="1"/>
  <c r="R12" i="17" a="1"/>
  <c r="R12" i="17" s="1"/>
  <c r="X11" i="17" a="1"/>
  <c r="X11" i="17" s="1"/>
  <c r="Y11" i="17" s="1"/>
  <c r="Q11" i="17" s="1"/>
  <c r="W11" i="17" s="1"/>
  <c r="N2" i="17" a="1"/>
  <c r="N2" i="17" s="1"/>
  <c r="U8" i="17" a="1"/>
  <c r="U8" i="17" s="1"/>
  <c r="U5" i="17" a="1"/>
  <c r="U5" i="17" s="1"/>
  <c r="X26" i="17" a="1"/>
  <c r="X26" i="17" s="1"/>
  <c r="Y26" i="17" s="1"/>
  <c r="X9" i="17" a="1"/>
  <c r="X9" i="17" s="1"/>
  <c r="Y9" i="17" s="1"/>
  <c r="O9" i="17" a="1"/>
  <c r="O9" i="17" s="1"/>
  <c r="U25" i="17" a="1"/>
  <c r="U25" i="17" s="1"/>
  <c r="S25" i="17" a="1"/>
  <c r="S25" i="17" s="1"/>
  <c r="V28" i="17" a="1"/>
  <c r="V28" i="17" s="1"/>
  <c r="V11" i="17" a="1"/>
  <c r="V11" i="17" s="1"/>
  <c r="U24" i="17" a="1"/>
  <c r="U24" i="17" s="1"/>
  <c r="U2" i="17" a="1"/>
  <c r="U2" i="17" s="1"/>
  <c r="T28" i="17" a="1"/>
  <c r="T28" i="17" s="1"/>
  <c r="T11" i="17" a="1"/>
  <c r="T11" i="17" s="1"/>
  <c r="S24" i="17" a="1"/>
  <c r="S24" i="17" s="1"/>
  <c r="Q21" i="17" l="1"/>
  <c r="W21" i="17" s="1"/>
  <c r="Q22" i="17"/>
  <c r="W22" i="17" s="1"/>
  <c r="Q31" i="17"/>
  <c r="W31" i="17" s="1"/>
  <c r="Q7" i="17"/>
  <c r="W7" i="17" s="1"/>
  <c r="Q15" i="17"/>
  <c r="W15" i="17" s="1"/>
  <c r="Q16" i="17"/>
  <c r="W16" i="17" s="1"/>
  <c r="Q17" i="17"/>
  <c r="W17" i="17" s="1"/>
  <c r="Q5" i="17"/>
  <c r="W5" i="17" s="1"/>
  <c r="Q2" i="17"/>
  <c r="W2" i="17" s="1"/>
  <c r="Q9" i="17"/>
  <c r="W9" i="17" s="1"/>
  <c r="Q13" i="17"/>
  <c r="W13" i="17" s="1"/>
  <c r="Q28" i="17"/>
  <c r="W28" i="17" s="1"/>
  <c r="Q14" i="17"/>
  <c r="W14" i="17" s="1"/>
  <c r="Q26" i="17"/>
  <c r="W26" i="17" s="1"/>
  <c r="Q4" i="17"/>
  <c r="W4" i="17" s="1"/>
  <c r="Q12" i="17"/>
  <c r="W12" i="17" s="1"/>
  <c r="Q25" i="17"/>
  <c r="W25" i="17" s="1"/>
  <c r="Q6" i="17"/>
  <c r="W6" i="17" s="1"/>
  <c r="Q10" i="17"/>
  <c r="W1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2lptf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<sst xmlns="http://schemas.openxmlformats.org/spreadsheetml/2006/main" count="637" uniqueCount="99">
  <si>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</si>
  <si>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</si>
  <si>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</si>
  <si>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</si>
  <si>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</si>
  <si>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</si>
  <si>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</si>
  <si>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</si>
  <si>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</si>
  <si>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</si>
  <si>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</si>
  <si>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</si>
  <si>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</si>
  <si>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</si>
  <si>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</si>
  <si>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</si>
  <si>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</si>
  <si>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</si>
  <si>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</si>
  <si>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</si>
  <si>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</si>
  <si>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</si>
  <si>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</si>
  <si>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</si>
  <si>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</si>
  <si>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</si>
  <si>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</si>
  <si>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</si>
  <si>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</si>
  <si>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</si>
  <si>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</si>
  <si>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</si>
  <si>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</si>
  <si>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</si>
  <si>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</si>
  <si>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</si>
  <si>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</si>
  <si>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</si>
  <si>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</si>
  <si>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</si>
  <si>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</si>
  <si>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</si>
  <si>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</si>
  <si>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</si>
  <si>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</si>
  <si>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</si>
  <si>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</si>
  <si>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</si>
  <si>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</si>
  <si>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</si>
  <si>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</si>
  <si>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</si>
  <si>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</si>
  <si>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</si>
  <si>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</si>
  <si>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</si>
  <si>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</si>
  <si>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</si>
  <si>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</si>
  <si>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</si>
  <si>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</si>
  <si>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</si>
  <si>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</si>
  <si>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</si>
  <si>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</si>
  <si>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</si>
  <si>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</si>
  <si>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</si>
  <si>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</si>
  <si>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ARENA\team4_uppgift1_2LptfNew.p</t>
  </si>
  <si>
    <t>2026-01-28 15:31:36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</si>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</sst>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9326736115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68961276943771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91943894462753"/>
    </cacheField>
    <cacheField name="Maximum" numFmtId="0">
      <sharedItems containsSemiMixedTypes="0" containsString="0" containsNumber="1" minValue="0" maxValue="65.280938454170794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7.5679290051579695"/>
    </cacheField>
    <cacheField name="StDevOfAverage" numFmtId="0">
      <sharedItems containsSemiMixedTypes="0" containsString="0" containsNumber="1" minValue="0" maxValue="0.978036473800343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2143926784480452"/>
    </cacheField>
    <cacheField name="MinimumAverage" numFmtId="0">
      <sharedItems containsSemiMixedTypes="0" containsString="0" containsNumber="1" minValue="0" maxValue="6.2538192383776101"/>
    </cacheField>
    <cacheField name="MaximumAverage" numFmtId="0">
      <sharedItems containsSemiMixedTypes="0" containsString="0" containsNumber="1" minValue="0" maxValue="8.6896127694377103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65.280938454170794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1.214392678448045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9326851853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60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6" maxValue="151.19999999999999"/>
    </cacheField>
    <cacheField name="StandardDeviation" numFmtId="0">
      <sharedItems containsSemiMixedTypes="0" containsString="0" containsNumber="1" minValue="3.5921507178220534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4514E-2" maxValue="14.303408774993876"/>
    </cacheField>
    <cacheField name="Minimum" numFmtId="0">
      <sharedItems containsSemiMixedTypes="0" containsString="0" containsNumber="1" minValue="0.64421661257996099" maxValue="134"/>
    </cacheField>
    <cacheField name="Maximum" numFmtId="0">
      <sharedItems containsSemiMixedTypes="0" containsString="0" containsNumber="1" minValue="0.743852942514982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932685185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9326967592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60684165779728305" maxValue="1.71138485351082"/>
    </cacheField>
    <cacheField name="BatchMeansHalfWidth" numFmtId="0">
      <sharedItems containsSemiMixedTypes="0" containsString="0" containsNumber="1" minValue="0.55291989939469799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0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988737998375556" maxValue="1.5782366430483701"/>
    </cacheField>
    <cacheField name="StDevOfAverage" numFmtId="0">
      <sharedItems containsSemiMixedTypes="0" containsString="0" containsNumber="1" minValue="0" maxValue="0.160416572614557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9918348293073601"/>
    </cacheField>
    <cacheField name="MinimumAverage" numFmtId="0">
      <sharedItems containsSemiMixedTypes="0" containsString="0" containsNumber="1" minValue="0.60684165779728305" maxValue="1.3042433601124399"/>
    </cacheField>
    <cacheField name="MaximumAverage" numFmtId="0">
      <sharedItems containsSemiMixedTypes="0" containsString="0" containsNumber="1" minValue="0.74385294251498202" maxValue="1.71138485351082"/>
    </cacheField>
    <cacheField name="SummaryHalfWidth" numFmtId="0">
      <sharedItems containsSemiMixedTypes="0" containsString="0" containsNumber="1" minValue="0" maxValue="0.19918348293073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932708333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5:31:36"/>
    <n v="1"/>
    <x v="0"/>
    <x v="0"/>
    <x v="0"/>
    <n v="5.22815037348568"/>
    <n v="2E+20"/>
    <n v="0"/>
    <n v="55.420458718622299"/>
    <n v="134"/>
    <s v="Unnamed ProjectDrilling center.QueueWaiting TimeQueue"/>
    <n v="5"/>
    <n v="4.2189739266539359"/>
    <n v="0.92121518778064904"/>
    <n v="0.95"/>
    <n v="1.1438397332657519"/>
    <n v="2.89354962658307"/>
    <n v="5.22815037348568"/>
    <n v="0"/>
    <n v="63.951536232955497"/>
    <n v="151.19999999999999"/>
    <n v="1.1438397332657519"/>
    <n v="5"/>
    <n v="1"/>
  </r>
  <r>
    <x v="0"/>
    <s v="2026-01-28 15:31:36"/>
    <n v="2"/>
    <x v="0"/>
    <x v="0"/>
    <x v="0"/>
    <n v="4.9306117520954196"/>
    <n v="2E+20"/>
    <n v="0"/>
    <n v="43.8770713888633"/>
    <n v="148"/>
    <s v="Unnamed ProjectDrilling center.QueueWaiting TimeQueue"/>
    <n v="5"/>
    <n v="4.2189739266539359"/>
    <n v="0.92121518778064904"/>
    <n v="0.95"/>
    <n v="1.1438397332657519"/>
    <n v="2.89354962658307"/>
    <n v="5.22815037348568"/>
    <n v="0"/>
    <n v="63.951536232955497"/>
    <n v="151.19999999999999"/>
    <n v="1.1438397332657519"/>
    <n v="5"/>
    <n v="1"/>
  </r>
  <r>
    <x v="0"/>
    <s v="2026-01-28 15:31:36"/>
    <n v="3"/>
    <x v="0"/>
    <x v="0"/>
    <x v="0"/>
    <n v="3.8894305369324198"/>
    <n v="2E+20"/>
    <n v="0"/>
    <n v="54.121357753839"/>
    <n v="163"/>
    <s v="Unnamed ProjectDrilling center.QueueWaiting TimeQueue"/>
    <n v="5"/>
    <n v="4.2189739266539359"/>
    <n v="0.92121518778064904"/>
    <n v="0.95"/>
    <n v="1.1438397332657519"/>
    <n v="2.89354962658307"/>
    <n v="5.22815037348568"/>
    <n v="0"/>
    <n v="63.951536232955497"/>
    <n v="151.19999999999999"/>
    <n v="1.1438397332657519"/>
    <n v="5"/>
    <n v="1"/>
  </r>
  <r>
    <x v="0"/>
    <s v="2026-01-28 15:31:36"/>
    <n v="4"/>
    <x v="0"/>
    <x v="0"/>
    <x v="0"/>
    <n v="2.89354962658307"/>
    <n v="2E+20"/>
    <n v="0"/>
    <n v="37.0477530048706"/>
    <n v="151"/>
    <s v="Unnamed ProjectDrilling center.QueueWaiting TimeQueue"/>
    <n v="5"/>
    <n v="4.2189739266539359"/>
    <n v="0.92121518778064904"/>
    <n v="0.95"/>
    <n v="1.1438397332657519"/>
    <n v="2.89354962658307"/>
    <n v="5.22815037348568"/>
    <n v="0"/>
    <n v="63.951536232955497"/>
    <n v="151.19999999999999"/>
    <n v="1.1438397332657519"/>
    <n v="5"/>
    <n v="1"/>
  </r>
  <r>
    <x v="0"/>
    <s v="2026-01-28 15:31:36"/>
    <n v="5"/>
    <x v="0"/>
    <x v="0"/>
    <x v="0"/>
    <n v="4.1531273441730896"/>
    <n v="2E+20"/>
    <n v="0"/>
    <n v="63.951536232955497"/>
    <n v="160"/>
    <s v="Unnamed ProjectDrilling center.QueueWaiting TimeQueue"/>
    <n v="5"/>
    <n v="4.2189739266539359"/>
    <n v="0.92121518778064904"/>
    <n v="0.95"/>
    <n v="1.1438397332657519"/>
    <n v="2.89354962658307"/>
    <n v="5.22815037348568"/>
    <n v="0"/>
    <n v="63.951536232955497"/>
    <n v="151.19999999999999"/>
    <n v="1.1438397332657519"/>
    <n v="5"/>
    <n v="1"/>
  </r>
  <r>
    <x v="0"/>
    <s v="2026-01-28 15:31:36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1"/>
    <x v="1"/>
    <x v="3"/>
    <x v="1"/>
    <n v="8.6896127694377103"/>
    <n v="2E+20"/>
    <n v="1.91943894462753"/>
    <n v="57.780711768810001"/>
    <n v="134"/>
    <s v="Unnamed ProjectPartTotal TimeEntity"/>
    <n v="5"/>
    <n v="7.5679290051579695"/>
    <n v="0.97803647380034353"/>
    <n v="0.95"/>
    <n v="1.2143926784480452"/>
    <n v="6.2538192383776101"/>
    <n v="8.6896127694377103"/>
    <n v="1.20224816547654"/>
    <n v="65.280938454170794"/>
    <n v="150.80000000000001"/>
    <n v="1.2143926784480452"/>
    <n v="5"/>
    <n v="1"/>
  </r>
  <r>
    <x v="0"/>
    <s v="2026-01-28 15:31:36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31:36"/>
    <n v="1"/>
    <x v="1"/>
    <x v="6"/>
    <x v="1"/>
    <n v="5.22815037348568"/>
    <n v="2E+20"/>
    <n v="0"/>
    <n v="55.420458718622299"/>
    <n v="134"/>
    <s v="Unnamed ProjectPartWait TimeEntity"/>
    <n v="5"/>
    <n v="4.228510121911464"/>
    <n v="0.92272388270364403"/>
    <n v="0.95"/>
    <n v="1.1457130254359074"/>
    <n v="2.9076890263258401"/>
    <n v="5.22815037348568"/>
    <n v="0"/>
    <n v="63.951536232955497"/>
    <n v="150.80000000000001"/>
    <n v="1.1457130254359074"/>
    <n v="5"/>
    <n v="1"/>
  </r>
  <r>
    <x v="0"/>
    <s v="2026-01-28 15:31:36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2"/>
    <x v="1"/>
    <x v="3"/>
    <x v="1"/>
    <n v="8.3683004799566394"/>
    <n v="2E+20"/>
    <n v="1.5132872749330799"/>
    <n v="46.6146766959831"/>
    <n v="147"/>
    <s v="Unnamed ProjectPartTotal TimeEntity"/>
    <n v="5"/>
    <n v="7.5679290051579695"/>
    <n v="0.97803647380034353"/>
    <n v="0.95"/>
    <n v="1.2143926784480452"/>
    <n v="6.2538192383776101"/>
    <n v="8.6896127694377103"/>
    <n v="1.20224816547654"/>
    <n v="65.280938454170794"/>
    <n v="150.80000000000001"/>
    <n v="1.2143926784480452"/>
    <n v="5"/>
    <n v="1"/>
  </r>
  <r>
    <x v="0"/>
    <s v="2026-01-28 15:31:36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31:36"/>
    <n v="2"/>
    <x v="1"/>
    <x v="6"/>
    <x v="1"/>
    <n v="4.9641533286402897"/>
    <n v="2E+20"/>
    <n v="0"/>
    <n v="43.8770713888633"/>
    <n v="147"/>
    <s v="Unnamed ProjectPartWait TimeEntity"/>
    <n v="5"/>
    <n v="4.228510121911464"/>
    <n v="0.92272388270364403"/>
    <n v="0.95"/>
    <n v="1.1457130254359074"/>
    <n v="2.9076890263258401"/>
    <n v="5.22815037348568"/>
    <n v="0"/>
    <n v="63.951536232955497"/>
    <n v="150.80000000000001"/>
    <n v="1.1457130254359074"/>
    <n v="5"/>
    <n v="1"/>
  </r>
  <r>
    <x v="0"/>
    <s v="2026-01-28 15:31:36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3"/>
    <x v="1"/>
    <x v="3"/>
    <x v="1"/>
    <n v="7.1751613259556599"/>
    <n v="2E+20"/>
    <n v="1.20224816547654"/>
    <n v="56.3922175635523"/>
    <n v="163"/>
    <s v="Unnamed ProjectPartTotal TimeEntity"/>
    <n v="5"/>
    <n v="7.5679290051579695"/>
    <n v="0.97803647380034353"/>
    <n v="0.95"/>
    <n v="1.2143926784480452"/>
    <n v="6.2538192383776101"/>
    <n v="8.6896127694377103"/>
    <n v="1.20224816547654"/>
    <n v="65.280938454170794"/>
    <n v="150.80000000000001"/>
    <n v="1.2143926784480452"/>
    <n v="5"/>
    <n v="1"/>
  </r>
  <r>
    <x v="0"/>
    <s v="2026-01-28 15:31:36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3"/>
    <x v="1"/>
    <x v="5"/>
    <x v="1"/>
    <n v="3.2857307890232401"/>
    <n v="2E+20"/>
    <n v="1.20224816547654"/>
    <n v="5.87560159263501"/>
    <n v="163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31:36"/>
    <n v="3"/>
    <x v="1"/>
    <x v="6"/>
    <x v="1"/>
    <n v="3.8894305369324198"/>
    <n v="2E+20"/>
    <n v="0"/>
    <n v="54.121357753839"/>
    <n v="163"/>
    <s v="Unnamed ProjectPartWait TimeEntity"/>
    <n v="5"/>
    <n v="4.228510121911464"/>
    <n v="0.92272388270364403"/>
    <n v="0.95"/>
    <n v="1.1457130254359074"/>
    <n v="2.9076890263258401"/>
    <n v="5.22815037348568"/>
    <n v="0"/>
    <n v="63.951536232955497"/>
    <n v="150.80000000000001"/>
    <n v="1.1457130254359074"/>
    <n v="5"/>
    <n v="1"/>
  </r>
  <r>
    <x v="0"/>
    <s v="2026-01-28 15:31:36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4"/>
    <x v="1"/>
    <x v="3"/>
    <x v="1"/>
    <n v="6.2538192383776101"/>
    <n v="2E+20"/>
    <n v="1.2139916806486899"/>
    <n v="39.875288039187602"/>
    <n v="150"/>
    <s v="Unnamed ProjectPartTotal TimeEntity"/>
    <n v="5"/>
    <n v="7.5679290051579695"/>
    <n v="0.97803647380034353"/>
    <n v="0.95"/>
    <n v="1.2143926784480452"/>
    <n v="6.2538192383776101"/>
    <n v="8.6896127694377103"/>
    <n v="1.20224816547654"/>
    <n v="65.280938454170794"/>
    <n v="150.80000000000001"/>
    <n v="1.2143926784480452"/>
    <n v="5"/>
    <n v="1"/>
  </r>
  <r>
    <x v="0"/>
    <s v="2026-01-28 15:31:36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31:36"/>
    <n v="4"/>
    <x v="1"/>
    <x v="6"/>
    <x v="1"/>
    <n v="2.9076890263258401"/>
    <n v="2E+20"/>
    <n v="0"/>
    <n v="37.0477530048706"/>
    <n v="150"/>
    <s v="Unnamed ProjectPartWait TimeEntity"/>
    <n v="5"/>
    <n v="4.228510121911464"/>
    <n v="0.92272388270364403"/>
    <n v="0.95"/>
    <n v="1.1457130254359074"/>
    <n v="2.9076890263258401"/>
    <n v="5.22815037348568"/>
    <n v="0"/>
    <n v="63.951536232955497"/>
    <n v="150.80000000000001"/>
    <n v="1.1457130254359074"/>
    <n v="5"/>
    <n v="1"/>
  </r>
  <r>
    <x v="0"/>
    <s v="2026-01-28 15:31:36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5"/>
    <x v="1"/>
    <x v="3"/>
    <x v="1"/>
    <n v="7.3527512120622296"/>
    <n v="2E+20"/>
    <n v="1.22324648767889"/>
    <n v="65.280938454170794"/>
    <n v="160"/>
    <s v="Unnamed ProjectPartTotal TimeEntity"/>
    <n v="5"/>
    <n v="7.5679290051579695"/>
    <n v="0.97803647380034353"/>
    <n v="0.95"/>
    <n v="1.2143926784480452"/>
    <n v="6.2538192383776101"/>
    <n v="8.6896127694377103"/>
    <n v="1.20224816547654"/>
    <n v="65.280938454170794"/>
    <n v="150.80000000000001"/>
    <n v="1.2143926784480452"/>
    <n v="5"/>
    <n v="1"/>
  </r>
  <r>
    <x v="0"/>
    <s v="2026-01-28 15:31:36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31:36"/>
    <n v="5"/>
    <x v="1"/>
    <x v="5"/>
    <x v="1"/>
    <n v="3.1996238678891298"/>
    <n v="2E+20"/>
    <n v="1.22324648767889"/>
    <n v="5.7533987200526999"/>
    <n v="16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31:36"/>
    <n v="5"/>
    <x v="1"/>
    <x v="6"/>
    <x v="1"/>
    <n v="4.1531273441730896"/>
    <n v="2E+20"/>
    <n v="0"/>
    <n v="63.951536232955497"/>
    <n v="160"/>
    <s v="Unnamed ProjectPartWait TimeEntity"/>
    <n v="5"/>
    <n v="4.228510121911464"/>
    <n v="0.92272388270364403"/>
    <n v="0.95"/>
    <n v="1.1457130254359074"/>
    <n v="2.9076890263258401"/>
    <n v="5.22815037348568"/>
    <n v="0"/>
    <n v="63.951536232955497"/>
    <n v="150.80000000000001"/>
    <n v="1.1457130254359074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31:36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31:36"/>
    <n v="1"/>
    <x v="1"/>
    <x v="1"/>
    <x v="0"/>
    <n v="0.64421661257996099"/>
    <n v="0"/>
    <s v="Unnamed ProjectDrill press.ScheduledUtilizationScheduled UtilizationResource"/>
    <n v="5"/>
    <n v="0.6988737998375556"/>
    <n v="3.5921507178220534E-2"/>
    <n v="0.95"/>
    <n v="4.4602442224414514E-2"/>
    <n v="0.64421661257996099"/>
    <n v="0.74385294251498202"/>
  </r>
  <r>
    <x v="0"/>
    <s v="2026-01-28 15:31:36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31:36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31:36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31:36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31:36"/>
    <n v="2"/>
    <x v="1"/>
    <x v="1"/>
    <x v="0"/>
    <n v="0.69787021558009299"/>
    <n v="0"/>
    <s v="Unnamed ProjectDrill press.ScheduledUtilizationScheduled UtilizationResource"/>
    <n v="5"/>
    <n v="0.6988737998375556"/>
    <n v="3.5921507178220534E-2"/>
    <n v="0.95"/>
    <n v="4.4602442224414514E-2"/>
    <n v="0.64421661257996099"/>
    <n v="0.74385294251498202"/>
  </r>
  <r>
    <x v="0"/>
    <s v="2026-01-28 15:31:36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31:36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31:36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31:36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31:36"/>
    <n v="3"/>
    <x v="1"/>
    <x v="1"/>
    <x v="0"/>
    <n v="0.74385294251498202"/>
    <n v="0"/>
    <s v="Unnamed ProjectDrill press.ScheduledUtilizationScheduled UtilizationResource"/>
    <n v="5"/>
    <n v="0.6988737998375556"/>
    <n v="3.5921507178220534E-2"/>
    <n v="0.95"/>
    <n v="4.4602442224414514E-2"/>
    <n v="0.64421661257996099"/>
    <n v="0.74385294251498202"/>
  </r>
  <r>
    <x v="0"/>
    <s v="2026-01-28 15:31:36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31:36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31:36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31:36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31:36"/>
    <n v="4"/>
    <x v="1"/>
    <x v="1"/>
    <x v="0"/>
    <n v="0.69740170231515697"/>
    <n v="0"/>
    <s v="Unnamed ProjectDrill press.ScheduledUtilizationScheduled UtilizationResource"/>
    <n v="5"/>
    <n v="0.6988737998375556"/>
    <n v="3.5921507178220534E-2"/>
    <n v="0.95"/>
    <n v="4.4602442224414514E-2"/>
    <n v="0.64421661257996099"/>
    <n v="0.74385294251498202"/>
  </r>
  <r>
    <x v="0"/>
    <s v="2026-01-28 15:31:36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31:36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31:36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31:36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31:36"/>
    <n v="5"/>
    <x v="1"/>
    <x v="1"/>
    <x v="0"/>
    <n v="0.71102752619758502"/>
    <n v="0"/>
    <s v="Unnamed ProjectDrill press.ScheduledUtilizationScheduled UtilizationResource"/>
    <n v="5"/>
    <n v="0.6988737998375556"/>
    <n v="3.5921507178220534E-2"/>
    <n v="0.95"/>
    <n v="4.4602442224414514E-2"/>
    <n v="0.64421661257996099"/>
    <n v="0.74385294251498202"/>
  </r>
  <r>
    <x v="0"/>
    <s v="2026-01-28 15:31:36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31:36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31:36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31:36"/>
    <n v="1"/>
    <x v="0"/>
    <x v="0"/>
    <x v="0"/>
    <n v="0.64421661257996099"/>
    <n v="2E+20"/>
    <n v="0"/>
    <n v="1"/>
    <n v="0"/>
    <n v="0"/>
    <s v="Unnamed ProjectDrill pressInstantaneous Utilization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1"/>
    <x v="0"/>
    <x v="1"/>
    <x v="0"/>
    <n v="0.64421661257996099"/>
    <n v="2E+20"/>
    <n v="0"/>
    <n v="1"/>
    <n v="0"/>
    <n v="0"/>
    <s v="Unnamed ProjectDrill pressNumber Busy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31:36"/>
    <n v="1"/>
    <x v="1"/>
    <x v="3"/>
    <x v="1"/>
    <n v="0.97301687506539003"/>
    <n v="2E+20"/>
    <n v="0"/>
    <n v="9"/>
    <n v="0"/>
    <n v="0"/>
    <s v="Unnamed ProjectDrilling center.QueueNumber WaitingQueue"/>
    <n v="5"/>
    <n v="0.87936284321081382"/>
    <n v="0.16041657261455761"/>
    <n v="0.95"/>
    <n v="0.19918348293073601"/>
    <n v="0.60684165779728305"/>
    <n v="1.01351463793073"/>
    <n v="0.19918348293073601"/>
  </r>
  <r>
    <x v="0"/>
    <s v="2026-01-28 15:31:36"/>
    <n v="1"/>
    <x v="2"/>
    <x v="4"/>
    <x v="2"/>
    <n v="1.61723348764535"/>
    <n v="2E+20"/>
    <n v="0"/>
    <n v="10"/>
    <n v="0"/>
    <n v="0"/>
    <s v="Unnamed ProjectPartWIPEntity"/>
    <n v="5"/>
    <n v="1.5782366430483701"/>
    <n v="0.15776075413272017"/>
    <n v="0.95"/>
    <n v="0.19588584873607429"/>
    <n v="1.3042433601124399"/>
    <n v="1.71138485351082"/>
    <n v="0.19588584873607429"/>
  </r>
  <r>
    <x v="0"/>
    <s v="2026-01-28 15:31:36"/>
    <n v="2"/>
    <x v="0"/>
    <x v="0"/>
    <x v="0"/>
    <n v="0.69787021558009299"/>
    <n v="2E+20"/>
    <n v="0"/>
    <n v="1"/>
    <n v="1"/>
    <n v="0"/>
    <s v="Unnamed ProjectDrill pressInstantaneous Utilization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2"/>
    <x v="0"/>
    <x v="1"/>
    <x v="0"/>
    <n v="0.69787021558009299"/>
    <n v="2E+20"/>
    <n v="0"/>
    <n v="1"/>
    <n v="1"/>
    <n v="0"/>
    <s v="Unnamed ProjectDrill pressNumber Busy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31:36"/>
    <n v="2"/>
    <x v="1"/>
    <x v="3"/>
    <x v="1"/>
    <n v="1.01351463793073"/>
    <n v="2E+20"/>
    <n v="0"/>
    <n v="5"/>
    <n v="0"/>
    <n v="0"/>
    <s v="Unnamed ProjectDrilling center.QueueNumber WaitingQueue"/>
    <n v="5"/>
    <n v="0.87936284321081382"/>
    <n v="0.16041657261455761"/>
    <n v="0.95"/>
    <n v="0.19918348293073601"/>
    <n v="0.60684165779728305"/>
    <n v="1.01351463793073"/>
    <n v="0.19918348293073601"/>
  </r>
  <r>
    <x v="0"/>
    <s v="2026-01-28 15:31:36"/>
    <n v="2"/>
    <x v="2"/>
    <x v="4"/>
    <x v="2"/>
    <n v="1.71138485351082"/>
    <n v="2E+20"/>
    <n v="0"/>
    <n v="6"/>
    <n v="1"/>
    <n v="0"/>
    <s v="Unnamed ProjectPartWIPEntity"/>
    <n v="5"/>
    <n v="1.5782366430483701"/>
    <n v="0.15776075413272017"/>
    <n v="0.95"/>
    <n v="0.19588584873607429"/>
    <n v="1.3042433601124399"/>
    <n v="1.71138485351082"/>
    <n v="0.19588584873607429"/>
  </r>
  <r>
    <x v="0"/>
    <s v="2026-01-28 15:31:36"/>
    <n v="3"/>
    <x v="0"/>
    <x v="0"/>
    <x v="0"/>
    <n v="0.74385294251498202"/>
    <n v="2E+20"/>
    <n v="0"/>
    <n v="1"/>
    <n v="0"/>
    <n v="0"/>
    <s v="Unnamed ProjectDrill pressInstantaneous Utilization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3"/>
    <x v="0"/>
    <x v="1"/>
    <x v="0"/>
    <n v="0.74385294251498202"/>
    <n v="2E+20"/>
    <n v="0"/>
    <n v="1"/>
    <n v="0"/>
    <n v="0"/>
    <s v="Unnamed ProjectDrill pressNumber Busy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31:36"/>
    <n v="3"/>
    <x v="1"/>
    <x v="3"/>
    <x v="1"/>
    <n v="0.88052385766664498"/>
    <n v="2E+20"/>
    <n v="0"/>
    <n v="7"/>
    <n v="0"/>
    <n v="0"/>
    <s v="Unnamed ProjectDrilling center.QueueNumber WaitingQueue"/>
    <n v="5"/>
    <n v="0.87936284321081382"/>
    <n v="0.16041657261455761"/>
    <n v="0.95"/>
    <n v="0.19918348293073601"/>
    <n v="0.60684165779728305"/>
    <n v="1.01351463793073"/>
    <n v="0.19918348293073601"/>
  </r>
  <r>
    <x v="0"/>
    <s v="2026-01-28 15:31:36"/>
    <n v="3"/>
    <x v="2"/>
    <x v="4"/>
    <x v="2"/>
    <n v="1.6243768001816301"/>
    <n v="0.55291989939469799"/>
    <n v="0"/>
    <n v="8"/>
    <n v="0"/>
    <n v="0"/>
    <s v="Unnamed ProjectPartWIPEntity"/>
    <n v="5"/>
    <n v="1.5782366430483701"/>
    <n v="0.15776075413272017"/>
    <n v="0.95"/>
    <n v="0.19588584873607429"/>
    <n v="1.3042433601124399"/>
    <n v="1.71138485351082"/>
    <n v="0.19588584873607429"/>
  </r>
  <r>
    <x v="0"/>
    <s v="2026-01-28 15:31:36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4"/>
    <x v="0"/>
    <x v="1"/>
    <x v="0"/>
    <n v="0.69740170231515697"/>
    <n v="2E+20"/>
    <n v="0"/>
    <n v="1"/>
    <n v="1"/>
    <n v="0"/>
    <s v="Unnamed ProjectDrill pressNumber Busy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31:36"/>
    <n v="4"/>
    <x v="1"/>
    <x v="3"/>
    <x v="1"/>
    <n v="0.60684165779728305"/>
    <n v="2E+20"/>
    <n v="0"/>
    <n v="4"/>
    <n v="0"/>
    <n v="0"/>
    <s v="Unnamed ProjectDrilling center.QueueNumber WaitingQueue"/>
    <n v="5"/>
    <n v="0.87936284321081382"/>
    <n v="0.16041657261455761"/>
    <n v="0.95"/>
    <n v="0.19918348293073601"/>
    <n v="0.60684165779728305"/>
    <n v="1.01351463793073"/>
    <n v="0.19918348293073601"/>
  </r>
  <r>
    <x v="0"/>
    <s v="2026-01-28 15:31:36"/>
    <n v="4"/>
    <x v="2"/>
    <x v="4"/>
    <x v="2"/>
    <n v="1.3042433601124399"/>
    <n v="2E+20"/>
    <n v="0"/>
    <n v="5"/>
    <n v="1"/>
    <n v="0"/>
    <s v="Unnamed ProjectPartWIPEntity"/>
    <n v="5"/>
    <n v="1.5782366430483701"/>
    <n v="0.15776075413272017"/>
    <n v="0.95"/>
    <n v="0.19588584873607429"/>
    <n v="1.3042433601124399"/>
    <n v="1.71138485351082"/>
    <n v="0.19588584873607429"/>
  </r>
  <r>
    <x v="0"/>
    <s v="2026-01-28 15:31:36"/>
    <n v="5"/>
    <x v="0"/>
    <x v="0"/>
    <x v="0"/>
    <n v="0.71102752619758502"/>
    <n v="2E+20"/>
    <n v="0"/>
    <n v="1"/>
    <n v="0"/>
    <n v="0"/>
    <s v="Unnamed ProjectDrill pressInstantaneous Utilization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5"/>
    <x v="0"/>
    <x v="1"/>
    <x v="0"/>
    <n v="0.71102752619758502"/>
    <n v="2E+20"/>
    <n v="0"/>
    <n v="1"/>
    <n v="0"/>
    <n v="0"/>
    <s v="Unnamed ProjectDrill pressNumber BusyResource"/>
    <n v="5"/>
    <n v="0.6988737998375556"/>
    <n v="3.5921507178220534E-2"/>
    <n v="0.95"/>
    <n v="4.4602442224414514E-2"/>
    <n v="0.64421661257996099"/>
    <n v="0.74385294251498202"/>
    <n v="4.4602442224414514E-2"/>
  </r>
  <r>
    <x v="0"/>
    <s v="2026-01-28 15:31:36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31:36"/>
    <n v="5"/>
    <x v="1"/>
    <x v="3"/>
    <x v="1"/>
    <n v="0.92291718759402097"/>
    <n v="2E+20"/>
    <n v="0"/>
    <n v="7"/>
    <n v="0"/>
    <n v="0"/>
    <s v="Unnamed ProjectDrilling center.QueueNumber WaitingQueue"/>
    <n v="5"/>
    <n v="0.87936284321081382"/>
    <n v="0.16041657261455761"/>
    <n v="0.95"/>
    <n v="0.19918348293073601"/>
    <n v="0.60684165779728305"/>
    <n v="1.01351463793073"/>
    <n v="0.19918348293073601"/>
  </r>
  <r>
    <x v="0"/>
    <s v="2026-01-28 15:31:36"/>
    <n v="5"/>
    <x v="2"/>
    <x v="4"/>
    <x v="2"/>
    <n v="1.6339447137916101"/>
    <n v="0.64375583120618496"/>
    <n v="0"/>
    <n v="8"/>
    <n v="0"/>
    <n v="0"/>
    <s v="Unnamed ProjectPartWIPEntity"/>
    <n v="5"/>
    <n v="1.5782366430483701"/>
    <n v="0.15776075413272017"/>
    <n v="0.95"/>
    <n v="0.19588584873607429"/>
    <n v="1.3042433601124399"/>
    <n v="1.71138485351082"/>
    <n v="0.1958858487360742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4.2189739266539359</v>
      </c>
      <c r="F3" s="5">
        <v>1</v>
      </c>
      <c r="G3" s="5">
        <v>1.1438397332657519</v>
      </c>
      <c r="H3" s="5">
        <v>0.92121518778064904</v>
      </c>
      <c r="I3" s="5">
        <v>2.89354962658307</v>
      </c>
      <c r="J3" s="5">
        <v>5.22815037348568</v>
      </c>
      <c r="K3" s="5">
        <v>0</v>
      </c>
      <c r="L3" s="5">
        <v>63.951536232955497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0.6988737998375556</v>
      </c>
      <c r="T3" s="5">
        <v>4.4602442224414514E-2</v>
      </c>
      <c r="U3" s="5">
        <v>3.5921507178220534E-2</v>
      </c>
      <c r="V3" s="5">
        <v>0.64421661257996099</v>
      </c>
      <c r="W3" s="5">
        <v>0.74385294251498202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0.6988737998375556</v>
      </c>
      <c r="T4" s="5">
        <v>4.4602442224414514E-2</v>
      </c>
      <c r="U4" s="5">
        <v>3.5921507178220534E-2</v>
      </c>
      <c r="V4" s="5">
        <v>0.64421661257996099</v>
      </c>
      <c r="W4" s="5">
        <v>0.74385294251498202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0.6988737998375556</v>
      </c>
      <c r="AP5" s="5">
        <v>4.4602442224414514E-2</v>
      </c>
      <c r="AQ5" s="5">
        <v>3.5921507178220534E-2</v>
      </c>
      <c r="AR5" s="5">
        <v>0.64421661257996099</v>
      </c>
      <c r="AS5" s="5">
        <v>0.74385294251498202</v>
      </c>
    </row>
    <row r="6" spans="1:52" x14ac:dyDescent="0.25">
      <c r="C6" t="s">
        <v>78</v>
      </c>
      <c r="D6" t="s">
        <v>76</v>
      </c>
      <c r="E6" s="5">
        <v>7.5679290051579695</v>
      </c>
      <c r="F6" s="5">
        <v>1</v>
      </c>
      <c r="G6" s="5">
        <v>1.2143926784480452</v>
      </c>
      <c r="H6" s="5">
        <v>0.97803647380034353</v>
      </c>
      <c r="I6" s="5">
        <v>6.2538192383776101</v>
      </c>
      <c r="J6" s="5">
        <v>8.6896127694377103</v>
      </c>
      <c r="K6" s="5">
        <v>1.20224816547654</v>
      </c>
      <c r="L6" s="5">
        <v>65.280938454170794</v>
      </c>
      <c r="M6" s="5">
        <v>150.80000000000001</v>
      </c>
      <c r="P6" t="s">
        <v>71</v>
      </c>
      <c r="Q6" t="s">
        <v>87</v>
      </c>
      <c r="R6" t="s">
        <v>73</v>
      </c>
      <c r="S6" s="5">
        <v>0.87936284321081382</v>
      </c>
      <c r="T6" s="5">
        <v>0.19918348293073601</v>
      </c>
      <c r="U6" s="5">
        <v>0.16041657261455761</v>
      </c>
      <c r="V6" s="5">
        <v>0.60684165779728305</v>
      </c>
      <c r="W6" s="5">
        <v>1.01351463793073</v>
      </c>
      <c r="X6" s="5">
        <v>0</v>
      </c>
      <c r="Y6" s="5">
        <v>9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1.5782366430483701</v>
      </c>
      <c r="T7" s="5">
        <v>0.19588584873607429</v>
      </c>
      <c r="U7" s="5">
        <v>0.15776075413272017</v>
      </c>
      <c r="V7" s="5">
        <v>1.3042433601124399</v>
      </c>
      <c r="W7" s="5">
        <v>1.71138485351082</v>
      </c>
      <c r="X7" s="5">
        <v>0</v>
      </c>
      <c r="Y7" s="5">
        <v>10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3.3394188832465082</v>
      </c>
      <c r="F8" s="5">
        <v>1</v>
      </c>
      <c r="G8" s="5">
        <v>0.12655606227406777</v>
      </c>
      <c r="H8" s="5">
        <v>0.10192456450146606</v>
      </c>
      <c r="I8" s="5">
        <v>3.1996238678891298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4.228510121911464</v>
      </c>
      <c r="F9" s="5">
        <v>1</v>
      </c>
      <c r="G9" s="5">
        <v>1.1457130254359074</v>
      </c>
      <c r="H9" s="5">
        <v>0.92272388270364403</v>
      </c>
      <c r="I9" s="5">
        <v>2.9076890263258401</v>
      </c>
      <c r="J9" s="5">
        <v>5.22815037348568</v>
      </c>
      <c r="K9" s="5">
        <v>0</v>
      </c>
      <c r="L9" s="5">
        <v>63.951536232955497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5.22815037348568</v>
      </c>
      <c r="H2">
        <v>2E+20</v>
      </c>
      <c r="I2">
        <v>0</v>
      </c>
      <c r="J2">
        <v>55.420458718622299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4.2189739266539359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0.92121518778064904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1.1438397332657519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2.89354962658307</v>
      </c>
      <c r="S2" cm="1">
        <f t="array" ref="S2">MAX(IF((DiscreteStatsTable[GroupByKey]=DiscreteStatsTable[[#This Row],[GroupByKey]]),(DiscreteStatsTable[GroupByKey]=DiscreteStatsTable[[#This Row],[GroupByKey]])*DiscreteStatsTable[Average]))</f>
        <v>5.22815037348568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63.951536232955497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1.1438397332657519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4.9306117520954196</v>
      </c>
      <c r="H3">
        <v>2E+20</v>
      </c>
      <c r="I3">
        <v>0</v>
      </c>
      <c r="J3">
        <v>43.8770713888633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4.2189739266539359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0.92121518778064904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1.1438397332657519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2.89354962658307</v>
      </c>
      <c r="S3" cm="1">
        <f t="array" ref="S3">MAX(IF((DiscreteStatsTable[GroupByKey]=DiscreteStatsTable[[#This Row],[GroupByKey]]),(DiscreteStatsTable[GroupByKey]=DiscreteStatsTable[[#This Row],[GroupByKey]])*DiscreteStatsTable[Average]))</f>
        <v>5.22815037348568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63.951536232955497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1.1438397332657519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3.8894305369324198</v>
      </c>
      <c r="H4">
        <v>2E+20</v>
      </c>
      <c r="I4">
        <v>0</v>
      </c>
      <c r="J4">
        <v>54.121357753839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4.2189739266539359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0.92121518778064904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1.1438397332657519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2.89354962658307</v>
      </c>
      <c r="S4" cm="1">
        <f t="array" ref="S4">MAX(IF((DiscreteStatsTable[GroupByKey]=DiscreteStatsTable[[#This Row],[GroupByKey]]),(DiscreteStatsTable[GroupByKey]=DiscreteStatsTable[[#This Row],[GroupByKey]])*DiscreteStatsTable[Average]))</f>
        <v>5.22815037348568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63.951536232955497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1.1438397332657519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2.89354962658307</v>
      </c>
      <c r="H5">
        <v>2E+20</v>
      </c>
      <c r="I5">
        <v>0</v>
      </c>
      <c r="J5">
        <v>37.0477530048706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4.2189739266539359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0.92121518778064904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1.1438397332657519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2.89354962658307</v>
      </c>
      <c r="S5" cm="1">
        <f t="array" ref="S5">MAX(IF((DiscreteStatsTable[GroupByKey]=DiscreteStatsTable[[#This Row],[GroupByKey]]),(DiscreteStatsTable[GroupByKey]=DiscreteStatsTable[[#This Row],[GroupByKey]])*DiscreteStatsTable[Average]))</f>
        <v>5.22815037348568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63.951536232955497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1.1438397332657519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4.1531273441730896</v>
      </c>
      <c r="H6">
        <v>2E+20</v>
      </c>
      <c r="I6">
        <v>0</v>
      </c>
      <c r="J6">
        <v>63.951536232955497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4.2189739266539359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0.92121518778064904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1.1438397332657519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2.89354962658307</v>
      </c>
      <c r="S6" cm="1">
        <f t="array" ref="S6">MAX(IF((DiscreteStatsTable[GroupByKey]=DiscreteStatsTable[[#This Row],[GroupByKey]]),(DiscreteStatsTable[GroupByKey]=DiscreteStatsTable[[#This Row],[GroupByKey]])*DiscreteStatsTable[Average]))</f>
        <v>5.22815037348568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63.951536232955497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1.1438397332657519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8.6896127694377103</v>
      </c>
      <c r="H9">
        <v>2E+20</v>
      </c>
      <c r="I9">
        <v>1.91943894462753</v>
      </c>
      <c r="J9">
        <v>57.780711768810001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7.5679290051579695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0.97803647380034353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1.2143926784480452</v>
      </c>
      <c r="R9" cm="1">
        <f t="array" ref="R9">MIN(IF((DiscreteStatsTable[GroupByKey]=DiscreteStatsTable[[#This Row],[GroupByKey]]),(DiscreteStatsTable[GroupByKey]=DiscreteStatsTable[[#This Row],[GroupByKey]])*DiscreteStatsTable[Average]))</f>
        <v>6.2538192383776101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8.6896127694377103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65.280938454170794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1.2143926784480452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3.3394188832465082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3.1996238678891298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0.12655606227406777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5.22815037348568</v>
      </c>
      <c r="H12">
        <v>2E+20</v>
      </c>
      <c r="I12">
        <v>0</v>
      </c>
      <c r="J12">
        <v>55.420458718622299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4.228510121911464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0.92272388270364403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1.1457130254359074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2.9076890263258401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5.22815037348568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63.951536232955497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1.1457130254359074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8.3683004799566394</v>
      </c>
      <c r="H15">
        <v>2E+20</v>
      </c>
      <c r="I15">
        <v>1.5132872749330799</v>
      </c>
      <c r="J15">
        <v>46.6146766959831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7.5679290051579695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0.97803647380034353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1.2143926784480452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6.2538192383776101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8.6896127694377103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65.280938454170794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1.2143926784480452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3.3394188832465082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3.1996238678891298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0.12655606227406777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4.9641533286402897</v>
      </c>
      <c r="H18">
        <v>2E+20</v>
      </c>
      <c r="I18">
        <v>0</v>
      </c>
      <c r="J18">
        <v>43.8770713888633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4.228510121911464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0.92272388270364403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1.1457130254359074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2.9076890263258401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5.22815037348568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63.951536232955497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1.1457130254359074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7.1751613259556599</v>
      </c>
      <c r="H21">
        <v>2E+20</v>
      </c>
      <c r="I21">
        <v>1.20224816547654</v>
      </c>
      <c r="J21">
        <v>56.3922175635523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7.5679290051579695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0.97803647380034353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1.2143926784480452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6.2538192383776101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8.6896127694377103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65.280938454170794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1.2143926784480452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3.2857307890232401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3.3394188832465082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3.1996238678891298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0.12655606227406777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3.8894305369324198</v>
      </c>
      <c r="H24">
        <v>2E+20</v>
      </c>
      <c r="I24">
        <v>0</v>
      </c>
      <c r="J24">
        <v>54.121357753839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4.228510121911464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0.92272388270364403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1.1457130254359074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2.9076890263258401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5.22815037348568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63.951536232955497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1.1457130254359074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6.2538192383776101</v>
      </c>
      <c r="H27">
        <v>2E+20</v>
      </c>
      <c r="I27">
        <v>1.2139916806486899</v>
      </c>
      <c r="J27">
        <v>39.875288039187602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7.5679290051579695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0.97803647380034353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1.2143926784480452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6.2538192383776101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8.6896127694377103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65.280938454170794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1.2143926784480452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3.3394188832465082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3.1996238678891298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0.12655606227406777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2.9076890263258401</v>
      </c>
      <c r="H30">
        <v>2E+20</v>
      </c>
      <c r="I30">
        <v>0</v>
      </c>
      <c r="J30">
        <v>37.0477530048706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4.228510121911464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0.92272388270364403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1.1457130254359074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2.9076890263258401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5.22815037348568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63.951536232955497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1.1457130254359074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7.3527512120622296</v>
      </c>
      <c r="H33">
        <v>2E+20</v>
      </c>
      <c r="I33">
        <v>1.22324648767889</v>
      </c>
      <c r="J33">
        <v>65.280938454170794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7.5679290051579695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0.97803647380034353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1.2143926784480452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6.2538192383776101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8.6896127694377103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65.280938454170794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1.2143926784480452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3.1996238678891298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3.3394188832465082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0.10192456450146606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3.1996238678891298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0.12655606227406777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4.1531273441730896</v>
      </c>
      <c r="H36">
        <v>2E+20</v>
      </c>
      <c r="I36">
        <v>0</v>
      </c>
      <c r="J36">
        <v>63.951536232955497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4.228510121911464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0.92272388270364403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1.1457130254359074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2.9076890263258401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5.22815037348568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63.951536232955497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1.1457130254359074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0.64421661257996099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0.64421661257996099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0.74385294251498202</v>
      </c>
      <c r="U2">
        <f>IF((ContinuousStatsTable[[#This Row],[RepsRequested]]&gt;1),ContinuousStatsTable[[#This Row],[HalfWidth]],ContinuousStatsTable[[#This Row],[BatchMeansHalfWidth]])</f>
        <v>4.4602442224414514E-2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0.64421661257996099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0.64421661257996099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0.74385294251498202</v>
      </c>
      <c r="U3">
        <f>IF((ContinuousStatsTable[[#This Row],[RepsRequested]]&gt;1),ContinuousStatsTable[[#This Row],[HalfWidth]],ContinuousStatsTable[[#This Row],[BatchMeansHalfWidth]])</f>
        <v>4.4602442224414514E-2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0.97301687506539003</v>
      </c>
      <c r="H5">
        <v>2E+20</v>
      </c>
      <c r="I5">
        <v>0</v>
      </c>
      <c r="J5">
        <v>9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0.87936284321081382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0.16041657261455761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0.19918348293073601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0.60684165779728305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1.01351463793073</v>
      </c>
      <c r="U5">
        <f>IF((ContinuousStatsTable[[#This Row],[RepsRequested]]&gt;1),ContinuousStatsTable[[#This Row],[HalfWidth]],ContinuousStatsTable[[#This Row],[BatchMeansHalfWidth]])</f>
        <v>0.19918348293073601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1.61723348764535</v>
      </c>
      <c r="H6">
        <v>2E+20</v>
      </c>
      <c r="I6">
        <v>0</v>
      </c>
      <c r="J6">
        <v>10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1.5782366430483701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0.15776075413272017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0.19588584873607429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1.3042433601124399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1.71138485351082</v>
      </c>
      <c r="U6">
        <f>IF((ContinuousStatsTable[[#This Row],[RepsRequested]]&gt;1),ContinuousStatsTable[[#This Row],[HalfWidth]],ContinuousStatsTable[[#This Row],[BatchMeansHalfWidth]])</f>
        <v>0.19588584873607429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0.69787021558009299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0.64421661257996099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0.74385294251498202</v>
      </c>
      <c r="U7">
        <f>IF((ContinuousStatsTable[[#This Row],[RepsRequested]]&gt;1),ContinuousStatsTable[[#This Row],[HalfWidth]],ContinuousStatsTable[[#This Row],[BatchMeansHalfWidth]])</f>
        <v>4.4602442224414514E-2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0.69787021558009299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0.64421661257996099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0.74385294251498202</v>
      </c>
      <c r="U8">
        <f>IF((ContinuousStatsTable[[#This Row],[RepsRequested]]&gt;1),ContinuousStatsTable[[#This Row],[HalfWidth]],ContinuousStatsTable[[#This Row],[BatchMeansHalfWidth]])</f>
        <v>4.4602442224414514E-2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1.01351463793073</v>
      </c>
      <c r="H10">
        <v>2E+20</v>
      </c>
      <c r="I10">
        <v>0</v>
      </c>
      <c r="J10">
        <v>5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0.87936284321081382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0.16041657261455761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0.19918348293073601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0.60684165779728305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1.01351463793073</v>
      </c>
      <c r="U10">
        <f>IF((ContinuousStatsTable[[#This Row],[RepsRequested]]&gt;1),ContinuousStatsTable[[#This Row],[HalfWidth]],ContinuousStatsTable[[#This Row],[BatchMeansHalfWidth]])</f>
        <v>0.19918348293073601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1.71138485351082</v>
      </c>
      <c r="H11">
        <v>2E+20</v>
      </c>
      <c r="I11">
        <v>0</v>
      </c>
      <c r="J11">
        <v>6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1.5782366430483701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0.15776075413272017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0.19588584873607429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1.3042433601124399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1.71138485351082</v>
      </c>
      <c r="U11">
        <f>IF((ContinuousStatsTable[[#This Row],[RepsRequested]]&gt;1),ContinuousStatsTable[[#This Row],[HalfWidth]],ContinuousStatsTable[[#This Row],[BatchMeansHalfWidth]])</f>
        <v>0.19588584873607429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0.74385294251498202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0.64421661257996099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0.74385294251498202</v>
      </c>
      <c r="U12" s="5">
        <f>IF((ContinuousStatsTable[[#This Row],[RepsRequested]]&gt;1),ContinuousStatsTable[[#This Row],[HalfWidth]],ContinuousStatsTable[[#This Row],[BatchMeansHalfWidth]])</f>
        <v>4.4602442224414514E-2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0.74385294251498202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0.64421661257996099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0.74385294251498202</v>
      </c>
      <c r="U13" s="5">
        <f>IF((ContinuousStatsTable[[#This Row],[RepsRequested]]&gt;1),ContinuousStatsTable[[#This Row],[HalfWidth]],ContinuousStatsTable[[#This Row],[BatchMeansHalfWidth]])</f>
        <v>4.4602442224414514E-2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0.88052385766664498</v>
      </c>
      <c r="H15">
        <v>2E+20</v>
      </c>
      <c r="I15">
        <v>0</v>
      </c>
      <c r="J15">
        <v>7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0.87936284321081382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0.16041657261455761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0.19918348293073601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0.60684165779728305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1.01351463793073</v>
      </c>
      <c r="U15" s="5">
        <f>IF((ContinuousStatsTable[[#This Row],[RepsRequested]]&gt;1),ContinuousStatsTable[[#This Row],[HalfWidth]],ContinuousStatsTable[[#This Row],[BatchMeansHalfWidth]])</f>
        <v>0.19918348293073601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1.6243768001816301</v>
      </c>
      <c r="H16">
        <v>0.55291989939469799</v>
      </c>
      <c r="I16">
        <v>0</v>
      </c>
      <c r="J16">
        <v>8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1.5782366430483701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0.15776075413272017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0.19588584873607429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1.3042433601124399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1.71138485351082</v>
      </c>
      <c r="U16" s="5">
        <f>IF((ContinuousStatsTable[[#This Row],[RepsRequested]]&gt;1),ContinuousStatsTable[[#This Row],[HalfWidth]],ContinuousStatsTable[[#This Row],[BatchMeansHalfWidth]])</f>
        <v>0.19588584873607429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0.64421661257996099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0.74385294251498202</v>
      </c>
      <c r="U17" s="5">
        <f>IF((ContinuousStatsTable[[#This Row],[RepsRequested]]&gt;1),ContinuousStatsTable[[#This Row],[HalfWidth]],ContinuousStatsTable[[#This Row],[BatchMeansHalfWidth]])</f>
        <v>4.4602442224414514E-2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0.64421661257996099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0.74385294251498202</v>
      </c>
      <c r="U18" s="5">
        <f>IF((ContinuousStatsTable[[#This Row],[RepsRequested]]&gt;1),ContinuousStatsTable[[#This Row],[HalfWidth]],ContinuousStatsTable[[#This Row],[BatchMeansHalfWidth]])</f>
        <v>4.4602442224414514E-2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0.60684165779728305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0.87936284321081382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0.16041657261455761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0.19918348293073601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0.60684165779728305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1.01351463793073</v>
      </c>
      <c r="U20" s="5">
        <f>IF((ContinuousStatsTable[[#This Row],[RepsRequested]]&gt;1),ContinuousStatsTable[[#This Row],[HalfWidth]],ContinuousStatsTable[[#This Row],[BatchMeansHalfWidth]])</f>
        <v>0.19918348293073601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1.3042433601124399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1.5782366430483701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0.15776075413272017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0.19588584873607429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1.3042433601124399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1.71138485351082</v>
      </c>
      <c r="U21" s="5">
        <f>IF((ContinuousStatsTable[[#This Row],[RepsRequested]]&gt;1),ContinuousStatsTable[[#This Row],[HalfWidth]],ContinuousStatsTable[[#This Row],[BatchMeansHalfWidth]])</f>
        <v>0.19588584873607429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0.71102752619758502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0.64421661257996099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0.74385294251498202</v>
      </c>
      <c r="U22" s="5">
        <f>IF((ContinuousStatsTable[[#This Row],[RepsRequested]]&gt;1),ContinuousStatsTable[[#This Row],[HalfWidth]],ContinuousStatsTable[[#This Row],[BatchMeansHalfWidth]])</f>
        <v>4.4602442224414514E-2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0.71102752619758502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0.6988737998375556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3.5921507178220534E-2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4.4602442224414514E-2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0.64421661257996099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0.74385294251498202</v>
      </c>
      <c r="U23" s="5">
        <f>IF((ContinuousStatsTable[[#This Row],[RepsRequested]]&gt;1),ContinuousStatsTable[[#This Row],[HalfWidth]],ContinuousStatsTable[[#This Row],[BatchMeansHalfWidth]])</f>
        <v>4.4602442224414514E-2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0.92291718759402097</v>
      </c>
      <c r="H25">
        <v>2E+20</v>
      </c>
      <c r="I25">
        <v>0</v>
      </c>
      <c r="J25">
        <v>7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0.87936284321081382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0.16041657261455761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0.19918348293073601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0.60684165779728305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1.01351463793073</v>
      </c>
      <c r="U25" s="5">
        <f>IF((ContinuousStatsTable[[#This Row],[RepsRequested]]&gt;1),ContinuousStatsTable[[#This Row],[HalfWidth]],ContinuousStatsTable[[#This Row],[BatchMeansHalfWidth]])</f>
        <v>0.19918348293073601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1.6339447137916101</v>
      </c>
      <c r="H26">
        <v>0.64375583120618496</v>
      </c>
      <c r="I26">
        <v>0</v>
      </c>
      <c r="J26">
        <v>8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1.5782366430483701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0.15776075413272017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0.19588584873607429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1.3042433601124399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1.71138485351082</v>
      </c>
      <c r="U26" s="5">
        <f>IF((ContinuousStatsTable[[#This Row],[RepsRequested]]&gt;1),ContinuousStatsTable[[#This Row],[HalfWidth]],ContinuousStatsTable[[#This Row],[BatchMeansHalfWidth]])</f>
        <v>0.19588584873607429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0.64421661257996099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0.6988737998375556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3.5921507178220534E-2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4.4602442224414514E-2</v>
      </c>
      <c r="O3" cm="1">
        <f t="array" ref="O3">MIN(IF((OutputTable[GroupByKey]=OutputTable[[#This Row],[GroupByKey]]),(OutputTable[GroupByKey]=OutputTable[[#This Row],[GroupByKey]])*OutputTable[RecordedValue]))</f>
        <v>0.64421661257996099</v>
      </c>
      <c r="P3" cm="1">
        <f t="array" ref="P3">MAX(IF((OutputTable[GroupByKey]=OutputTable[[#This Row],[GroupByKey]]),(OutputTable[GroupByKey]=OutputTable[[#This Row],[GroupByKey]])*OutputTable[RecordedValue]))</f>
        <v>0.74385294251498202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0.69787021558009299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0.6988737998375556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3.5921507178220534E-2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4.4602442224414514E-2</v>
      </c>
      <c r="O8" cm="1">
        <f t="array" ref="O8">MIN(IF((OutputTable[GroupByKey]=OutputTable[[#This Row],[GroupByKey]]),(OutputTable[GroupByKey]=OutputTable[[#This Row],[GroupByKey]])*OutputTable[RecordedValue]))</f>
        <v>0.64421661257996099</v>
      </c>
      <c r="P8" cm="1">
        <f t="array" ref="P8">MAX(IF((OutputTable[GroupByKey]=OutputTable[[#This Row],[GroupByKey]]),(OutputTable[GroupByKey]=OutputTable[[#This Row],[GroupByKey]])*OutputTable[RecordedValue]))</f>
        <v>0.74385294251498202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0.74385294251498202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0.6988737998375556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3.5921507178220534E-2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4.4602442224414514E-2</v>
      </c>
      <c r="O13" cm="1">
        <f t="array" ref="O13">MIN(IF((OutputTable[GroupByKey]=OutputTable[[#This Row],[GroupByKey]]),(OutputTable[GroupByKey]=OutputTable[[#This Row],[GroupByKey]])*OutputTable[RecordedValue]))</f>
        <v>0.64421661257996099</v>
      </c>
      <c r="P13" cm="1">
        <f t="array" ref="P13">MAX(IF((OutputTable[GroupByKey]=OutputTable[[#This Row],[GroupByKey]]),(OutputTable[GroupByKey]=OutputTable[[#This Row],[GroupByKey]])*OutputTable[RecordedValue]))</f>
        <v>0.74385294251498202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0.6988737998375556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3.5921507178220534E-2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4.4602442224414514E-2</v>
      </c>
      <c r="O18" cm="1">
        <f t="array" ref="O18">MIN(IF((OutputTable[GroupByKey]=OutputTable[[#This Row],[GroupByKey]]),(OutputTable[GroupByKey]=OutputTable[[#This Row],[GroupByKey]])*OutputTable[RecordedValue]))</f>
        <v>0.64421661257996099</v>
      </c>
      <c r="P18" cm="1">
        <f t="array" ref="P18">MAX(IF((OutputTable[GroupByKey]=OutputTable[[#This Row],[GroupByKey]]),(OutputTable[GroupByKey]=OutputTable[[#This Row],[GroupByKey]])*OutputTable[RecordedValue]))</f>
        <v>0.74385294251498202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0.71102752619758502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0.6988737998375556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3.5921507178220534E-2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4.4602442224414514E-2</v>
      </c>
      <c r="O23" cm="1">
        <f t="array" ref="O23">MIN(IF((OutputTable[GroupByKey]=OutputTable[[#This Row],[GroupByKey]]),(OutputTable[GroupByKey]=OutputTable[[#This Row],[GroupByKey]])*OutputTable[RecordedValue]))</f>
        <v>0.64421661257996099</v>
      </c>
      <c r="P23" cm="1">
        <f t="array" ref="P23">MAX(IF((OutputTable[GroupByKey]=OutputTable[[#This Row],[GroupByKey]]),(OutputTable[GroupByKey]=OutputTable[[#This Row],[GroupByKey]])*OutputTable[RecordedValue]))</f>
        <v>0.74385294251498202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2026-01-28T14:35:03Z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