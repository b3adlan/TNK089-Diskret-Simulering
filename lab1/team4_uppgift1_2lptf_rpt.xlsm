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filur03.it.liu.se\students\basad559\Documents\TNK089 LABS ARENA\"/>
    </mc:Choice>
  </mc:AlternateContent>
  <xr:revisionPtr revIDLastSave="0" documentId="13_ncr:1_{0276B396-A676-43E7-9E3D-B72E39A6189C}" xr6:coauthVersionLast="47" xr6:coauthVersionMax="47" xr10:uidLastSave="{00000000-0000-0000-0000-000000000000}"/>
  <bookViews>
    <workbookView xWindow="0" yWindow="8700" windowWidth="28500" windowHeight="8355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ContinuousTimeStatsByRep!$A$1:$L$26</definedName>
    <definedName name="ExternalData_1" localSheetId="4" hidden="1">CounterStatsByRep!$A$1:$G$2</definedName>
    <definedName name="ExternalData_1" localSheetId="2" hidden="1">DiscreteTimeStatsByRep!$A$1:$K$36</definedName>
    <definedName name="ExternalData_1" localSheetId="6" hidden="1">FrequencyStatsByRep!$A$1:$K$2</definedName>
    <definedName name="ExternalData_1" localSheetId="5" hidden="1">OutputStatsByRep!$A$1:$H$26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81" r:id="rId8"/>
    <pivotCache cacheId="88" r:id="rId9"/>
    <pivotCache cacheId="95" r:id="rId10"/>
    <pivotCache cacheId="102" r:id="rId11"/>
    <pivotCache cacheId="109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O5" i="20" s="1" a="1"/>
  <c r="O5" i="20" s="1"/>
  <c r="I6" i="20"/>
  <c r="I7" i="20"/>
  <c r="L8" i="20" s="1" a="1"/>
  <c r="L8" i="20" s="1"/>
  <c r="I8" i="20"/>
  <c r="I9" i="20"/>
  <c r="I10" i="20"/>
  <c r="I11" i="20"/>
  <c r="I12" i="20"/>
  <c r="I13" i="20"/>
  <c r="I14" i="20"/>
  <c r="I15" i="20"/>
  <c r="I16" i="20"/>
  <c r="I17" i="20"/>
  <c r="I18" i="20"/>
  <c r="L18" i="20" s="1" a="1"/>
  <c r="L18" i="20" s="1"/>
  <c r="I19" i="20"/>
  <c r="L19" i="20" s="1" a="1"/>
  <c r="L19" i="20" s="1"/>
  <c r="I20" i="20"/>
  <c r="I21" i="20"/>
  <c r="O21" i="20" s="1" a="1"/>
  <c r="O21" i="20" s="1"/>
  <c r="I22" i="20"/>
  <c r="I23" i="20"/>
  <c r="I24" i="20"/>
  <c r="I25" i="20"/>
  <c r="I26" i="20"/>
  <c r="J2" i="20" a="1"/>
  <c r="J2" i="20" s="1"/>
  <c r="J3" i="20" a="1"/>
  <c r="J3" i="20"/>
  <c r="J4" i="20" a="1"/>
  <c r="J4" i="20" s="1"/>
  <c r="J5" i="20" a="1"/>
  <c r="J5" i="20"/>
  <c r="J6" i="20" a="1"/>
  <c r="J6" i="20"/>
  <c r="J7" i="20" a="1"/>
  <c r="J7" i="20"/>
  <c r="J8" i="20" a="1"/>
  <c r="J8" i="20" s="1"/>
  <c r="J9" i="20" a="1"/>
  <c r="J9" i="20" s="1"/>
  <c r="J10" i="20" a="1"/>
  <c r="J10" i="20" s="1"/>
  <c r="J11" i="20" a="1"/>
  <c r="J11" i="20" s="1"/>
  <c r="J12" i="20" a="1"/>
  <c r="J12" i="20" s="1"/>
  <c r="J13" i="20" a="1"/>
  <c r="J13" i="20"/>
  <c r="J14" i="20" a="1"/>
  <c r="J14" i="20" s="1"/>
  <c r="J15" i="20" a="1"/>
  <c r="J15" i="20" s="1"/>
  <c r="J16" i="20" a="1"/>
  <c r="J16" i="20"/>
  <c r="J17" i="20" a="1"/>
  <c r="J17" i="20"/>
  <c r="J18" i="20" a="1"/>
  <c r="J18" i="20" s="1"/>
  <c r="J19" i="20" a="1"/>
  <c r="J19" i="20" s="1"/>
  <c r="J20" i="20" a="1"/>
  <c r="J20" i="20" s="1"/>
  <c r="J21" i="20" a="1"/>
  <c r="J21" i="20" s="1"/>
  <c r="J22" i="20" a="1"/>
  <c r="J22" i="20"/>
  <c r="J23" i="20" a="1"/>
  <c r="J23" i="20"/>
  <c r="J24" i="20" a="1"/>
  <c r="J24" i="20" s="1"/>
  <c r="J25" i="20" a="1"/>
  <c r="J25" i="20" s="1"/>
  <c r="J26" i="20" a="1"/>
  <c r="J26" i="20"/>
  <c r="M2" i="20" a="1"/>
  <c r="M2" i="20"/>
  <c r="M3" i="20" a="1"/>
  <c r="M3" i="20" s="1"/>
  <c r="M4" i="20" a="1"/>
  <c r="M4" i="20" s="1"/>
  <c r="M5" i="20" a="1"/>
  <c r="M5" i="20" s="1"/>
  <c r="M6" i="20" a="1"/>
  <c r="M6" i="20" s="1"/>
  <c r="M7" i="20" a="1"/>
  <c r="M7" i="20" s="1"/>
  <c r="M8" i="20" a="1"/>
  <c r="M8" i="20" s="1"/>
  <c r="M9" i="20" a="1"/>
  <c r="M9" i="20" s="1"/>
  <c r="M10" i="20" a="1"/>
  <c r="M10" i="20" s="1"/>
  <c r="M11" i="20" a="1"/>
  <c r="M11" i="20"/>
  <c r="M12" i="20" a="1"/>
  <c r="M12" i="20"/>
  <c r="M13" i="20" a="1"/>
  <c r="M13" i="20" s="1"/>
  <c r="M14" i="20" a="1"/>
  <c r="M14" i="20" s="1"/>
  <c r="M15" i="20" a="1"/>
  <c r="M15" i="20" s="1"/>
  <c r="M16" i="20" a="1"/>
  <c r="M16" i="20" s="1"/>
  <c r="M17" i="20" a="1"/>
  <c r="M17" i="20" s="1"/>
  <c r="M18" i="20" a="1"/>
  <c r="M18" i="20"/>
  <c r="M19" i="20" a="1"/>
  <c r="M19" i="20" s="1"/>
  <c r="M20" i="20" a="1"/>
  <c r="M20" i="20"/>
  <c r="M21" i="20" a="1"/>
  <c r="M21" i="20"/>
  <c r="M22" i="20" a="1"/>
  <c r="M22" i="20"/>
  <c r="M23" i="20" a="1"/>
  <c r="M23" i="20" s="1"/>
  <c r="M24" i="20" a="1"/>
  <c r="M24" i="20" s="1"/>
  <c r="M25" i="20" a="1"/>
  <c r="M25" i="20" s="1"/>
  <c r="M26" i="20" a="1"/>
  <c r="M26" i="20" s="1"/>
  <c r="M2" i="18"/>
  <c r="M3" i="18"/>
  <c r="M4" i="18"/>
  <c r="M5" i="18"/>
  <c r="M6" i="18"/>
  <c r="M7" i="18"/>
  <c r="M8" i="18"/>
  <c r="M9" i="18"/>
  <c r="M10" i="18"/>
  <c r="M11" i="18"/>
  <c r="M12" i="18"/>
  <c r="M13" i="18"/>
  <c r="M14" i="18"/>
  <c r="O24" i="18" s="1" a="1"/>
  <c r="O24" i="18" s="1"/>
  <c r="M15" i="18"/>
  <c r="M16" i="18"/>
  <c r="M17" i="18"/>
  <c r="M18" i="18"/>
  <c r="M19" i="18"/>
  <c r="M20" i="18"/>
  <c r="M21" i="18"/>
  <c r="S16" i="18" s="1" a="1"/>
  <c r="S16" i="18" s="1"/>
  <c r="M22" i="18"/>
  <c r="M23" i="18"/>
  <c r="M24" i="18"/>
  <c r="M25" i="18"/>
  <c r="M26" i="18"/>
  <c r="N2" i="18" a="1"/>
  <c r="N2" i="18"/>
  <c r="N3" i="18" a="1"/>
  <c r="N3" i="18"/>
  <c r="N4" i="18" a="1"/>
  <c r="N4" i="18"/>
  <c r="N5" i="18" a="1"/>
  <c r="N5" i="18"/>
  <c r="N6" i="18" a="1"/>
  <c r="N6" i="18"/>
  <c r="N7" i="18" a="1"/>
  <c r="N7" i="18"/>
  <c r="N8" i="18" a="1"/>
  <c r="N8" i="18"/>
  <c r="N9" i="18" a="1"/>
  <c r="N9" i="18" s="1"/>
  <c r="N10" i="18" a="1"/>
  <c r="N10" i="18" s="1"/>
  <c r="N11" i="18" a="1"/>
  <c r="N11" i="18"/>
  <c r="N12" i="18" a="1"/>
  <c r="N12" i="18"/>
  <c r="N13" i="18" a="1"/>
  <c r="N13" i="18"/>
  <c r="N14" i="18" a="1"/>
  <c r="N14" i="18"/>
  <c r="N15" i="18" a="1"/>
  <c r="N15" i="18"/>
  <c r="N16" i="18" a="1"/>
  <c r="N16" i="18"/>
  <c r="N17" i="18" a="1"/>
  <c r="N17" i="18"/>
  <c r="N18" i="18" a="1"/>
  <c r="N18" i="18"/>
  <c r="N19" i="18" a="1"/>
  <c r="N19" i="18" s="1"/>
  <c r="N20" i="18" a="1"/>
  <c r="N20" i="18" s="1"/>
  <c r="N21" i="18" a="1"/>
  <c r="N21" i="18" s="1"/>
  <c r="N22" i="18" a="1"/>
  <c r="N22" i="18"/>
  <c r="N23" i="18" a="1"/>
  <c r="N23" i="18"/>
  <c r="N24" i="18" a="1"/>
  <c r="N24" i="18"/>
  <c r="N25" i="18" a="1"/>
  <c r="N25" i="18"/>
  <c r="N26" i="18" a="1"/>
  <c r="N26" i="18"/>
  <c r="Q2" i="18" a="1"/>
  <c r="Q2" i="18"/>
  <c r="Q3" i="18" a="1"/>
  <c r="Q3" i="18"/>
  <c r="Q4" i="18" a="1"/>
  <c r="Q4" i="18" s="1"/>
  <c r="Q5" i="18" a="1"/>
  <c r="Q5" i="18" s="1"/>
  <c r="Q6" i="18" a="1"/>
  <c r="Q6" i="18"/>
  <c r="Q7" i="18" a="1"/>
  <c r="Q7" i="18"/>
  <c r="Q8" i="18" a="1"/>
  <c r="Q8" i="18"/>
  <c r="Q9" i="18" a="1"/>
  <c r="Q9" i="18" s="1"/>
  <c r="Q10" i="18" a="1"/>
  <c r="Q10" i="18"/>
  <c r="Q11" i="18" a="1"/>
  <c r="Q11" i="18"/>
  <c r="Q12" i="18" a="1"/>
  <c r="Q12" i="18"/>
  <c r="Q13" i="18" a="1"/>
  <c r="Q13" i="18"/>
  <c r="Q14" i="18" a="1"/>
  <c r="Q14" i="18" s="1"/>
  <c r="Q15" i="18" a="1"/>
  <c r="Q15" i="18" s="1"/>
  <c r="Q16" i="18" a="1"/>
  <c r="Q16" i="18"/>
  <c r="Q17" i="18" a="1"/>
  <c r="Q17" i="18"/>
  <c r="Q18" i="18" a="1"/>
  <c r="Q18" i="18"/>
  <c r="Q19" i="18" a="1"/>
  <c r="Q19" i="18"/>
  <c r="Q20" i="18" a="1"/>
  <c r="Q20" i="18" s="1"/>
  <c r="Q21" i="18" a="1"/>
  <c r="Q21" i="18"/>
  <c r="Q22" i="18" a="1"/>
  <c r="Q22" i="18"/>
  <c r="Q23" i="18" a="1"/>
  <c r="Q23" i="18" s="1"/>
  <c r="Q24" i="18" a="1"/>
  <c r="Q24" i="18" s="1"/>
  <c r="Q25" i="18" a="1"/>
  <c r="Q25" i="18" s="1"/>
  <c r="Q26" i="18" a="1"/>
  <c r="Q26" i="18"/>
  <c r="L2" i="17"/>
  <c r="L7" i="17"/>
  <c r="L8" i="17"/>
  <c r="L9" i="17"/>
  <c r="L10" i="17"/>
  <c r="L11" i="17"/>
  <c r="L12" i="17"/>
  <c r="L3" i="17"/>
  <c r="L13" i="17"/>
  <c r="L14" i="17"/>
  <c r="L15" i="17"/>
  <c r="L16" i="17"/>
  <c r="L17" i="17"/>
  <c r="L18" i="17"/>
  <c r="L4" i="17"/>
  <c r="L19" i="17"/>
  <c r="L20" i="17"/>
  <c r="L21" i="17"/>
  <c r="L22" i="17"/>
  <c r="L23" i="17"/>
  <c r="U23" i="17" s="1" a="1"/>
  <c r="U23" i="17" s="1"/>
  <c r="L24" i="17"/>
  <c r="L5" i="17"/>
  <c r="L25" i="17"/>
  <c r="L26" i="17"/>
  <c r="L27" i="17"/>
  <c r="L28" i="17"/>
  <c r="L29" i="17"/>
  <c r="L30" i="17"/>
  <c r="L6" i="17"/>
  <c r="L31" i="17"/>
  <c r="L32" i="17"/>
  <c r="L33" i="17"/>
  <c r="L34" i="17"/>
  <c r="L35" i="17"/>
  <c r="L36" i="17"/>
  <c r="M2" i="17" a="1"/>
  <c r="M2" i="17"/>
  <c r="M7" i="17" a="1"/>
  <c r="M7" i="17"/>
  <c r="M8" i="17" a="1"/>
  <c r="M8" i="17" s="1"/>
  <c r="M9" i="17" a="1"/>
  <c r="M9" i="17" s="1"/>
  <c r="M10" i="17" a="1"/>
  <c r="M10" i="17"/>
  <c r="M11" i="17" a="1"/>
  <c r="M11" i="17" s="1"/>
  <c r="M12" i="17" a="1"/>
  <c r="M12" i="17" s="1"/>
  <c r="M3" i="17" a="1"/>
  <c r="M3" i="17"/>
  <c r="M13" i="17" a="1"/>
  <c r="M13" i="17"/>
  <c r="M14" i="17" a="1"/>
  <c r="M14" i="17"/>
  <c r="M15" i="17" a="1"/>
  <c r="M15" i="17"/>
  <c r="M16" i="17" a="1"/>
  <c r="M16" i="17"/>
  <c r="M17" i="17" a="1"/>
  <c r="M17" i="17" s="1"/>
  <c r="M18" i="17" a="1"/>
  <c r="M18" i="17" s="1"/>
  <c r="M4" i="17" a="1"/>
  <c r="M4" i="17" s="1"/>
  <c r="M19" i="17" a="1"/>
  <c r="M19" i="17" s="1"/>
  <c r="M20" i="17" a="1"/>
  <c r="M20" i="17" s="1"/>
  <c r="M21" i="17" a="1"/>
  <c r="M21" i="17"/>
  <c r="M22" i="17" a="1"/>
  <c r="M22" i="17" s="1"/>
  <c r="M23" i="17" a="1"/>
  <c r="M23" i="17"/>
  <c r="M24" i="17" a="1"/>
  <c r="M24" i="17"/>
  <c r="M5" i="17" a="1"/>
  <c r="M5" i="17"/>
  <c r="M25" i="17" a="1"/>
  <c r="M25" i="17" s="1"/>
  <c r="M26" i="17" a="1"/>
  <c r="M26" i="17" s="1"/>
  <c r="M27" i="17" a="1"/>
  <c r="M27" i="17"/>
  <c r="M28" i="17" a="1"/>
  <c r="M28" i="17" s="1"/>
  <c r="M29" i="17" a="1"/>
  <c r="M29" i="17"/>
  <c r="M30" i="17" a="1"/>
  <c r="M30" i="17" s="1"/>
  <c r="M6" i="17" a="1"/>
  <c r="M6" i="17" s="1"/>
  <c r="M31" i="17" a="1"/>
  <c r="M31" i="17"/>
  <c r="M32" i="17" a="1"/>
  <c r="M32" i="17" s="1"/>
  <c r="M33" i="17" a="1"/>
  <c r="M33" i="17"/>
  <c r="M34" i="17" a="1"/>
  <c r="M34" i="17" s="1"/>
  <c r="M35" i="17" a="1"/>
  <c r="M35" i="17" s="1"/>
  <c r="M36" i="17" a="1"/>
  <c r="M36" i="17"/>
  <c r="P2" i="17" a="1"/>
  <c r="P2" i="17" s="1"/>
  <c r="P7" i="17" a="1"/>
  <c r="P7" i="17" s="1"/>
  <c r="P8" i="17" a="1"/>
  <c r="P8" i="17" s="1"/>
  <c r="P9" i="17" a="1"/>
  <c r="P9" i="17"/>
  <c r="P10" i="17" a="1"/>
  <c r="P10" i="17"/>
  <c r="P11" i="17" a="1"/>
  <c r="P11" i="17" s="1"/>
  <c r="P12" i="17" a="1"/>
  <c r="P12" i="17" s="1"/>
  <c r="P3" i="17" a="1"/>
  <c r="P3" i="17" s="1"/>
  <c r="P13" i="17" a="1"/>
  <c r="P13" i="17" s="1"/>
  <c r="P14" i="17" a="1"/>
  <c r="P14" i="17"/>
  <c r="P15" i="17" a="1"/>
  <c r="P15" i="17"/>
  <c r="P16" i="17" a="1"/>
  <c r="P16" i="17" s="1"/>
  <c r="P17" i="17" a="1"/>
  <c r="P17" i="17" s="1"/>
  <c r="P18" i="17" a="1"/>
  <c r="P18" i="17"/>
  <c r="P4" i="17" a="1"/>
  <c r="P4" i="17"/>
  <c r="P19" i="17" a="1"/>
  <c r="P19" i="17"/>
  <c r="P20" i="17" a="1"/>
  <c r="P20" i="17" s="1"/>
  <c r="P21" i="17" a="1"/>
  <c r="P21" i="17" s="1"/>
  <c r="P22" i="17" a="1"/>
  <c r="P22" i="17" s="1"/>
  <c r="P23" i="17" a="1"/>
  <c r="P23" i="17"/>
  <c r="P24" i="17" a="1"/>
  <c r="P24" i="17"/>
  <c r="P5" i="17" a="1"/>
  <c r="P5" i="17"/>
  <c r="P25" i="17" a="1"/>
  <c r="P25" i="17"/>
  <c r="P26" i="17" a="1"/>
  <c r="P26" i="17" s="1"/>
  <c r="P27" i="17" a="1"/>
  <c r="P27" i="17"/>
  <c r="P28" i="17" a="1"/>
  <c r="P28" i="17"/>
  <c r="P29" i="17" a="1"/>
  <c r="P29" i="17"/>
  <c r="P30" i="17" a="1"/>
  <c r="P30" i="17" s="1"/>
  <c r="P6" i="17" a="1"/>
  <c r="P6" i="17" s="1"/>
  <c r="P31" i="17" a="1"/>
  <c r="P31" i="17" s="1"/>
  <c r="P32" i="17" a="1"/>
  <c r="P32" i="17"/>
  <c r="P33" i="17" a="1"/>
  <c r="P33" i="17"/>
  <c r="P34" i="17" a="1"/>
  <c r="P34" i="17"/>
  <c r="P35" i="17" a="1"/>
  <c r="P35" i="17"/>
  <c r="P36" i="17" a="1"/>
  <c r="P36" i="17" s="1"/>
  <c r="G2" i="16"/>
  <c r="P12" i="20" l="1" a="1"/>
  <c r="P12" i="20" s="1"/>
  <c r="L12" i="20" a="1"/>
  <c r="L12" i="20" s="1"/>
  <c r="P22" i="20" a="1"/>
  <c r="P22" i="20" s="1"/>
  <c r="O7" i="20" a="1"/>
  <c r="O7" i="20" s="1"/>
  <c r="L20" i="20" a="1"/>
  <c r="L20" i="20" s="1"/>
  <c r="N20" i="20" s="1"/>
  <c r="K15" i="20" a="1"/>
  <c r="K15" i="20" s="1"/>
  <c r="K20" i="20" a="1"/>
  <c r="K20" i="20" s="1"/>
  <c r="O9" i="20" a="1"/>
  <c r="O9" i="20" s="1"/>
  <c r="O17" i="20" a="1"/>
  <c r="O17" i="20" s="1"/>
  <c r="N18" i="20"/>
  <c r="L9" i="20" a="1"/>
  <c r="L9" i="20" s="1"/>
  <c r="N9" i="20" s="1"/>
  <c r="K11" i="20" a="1"/>
  <c r="K11" i="20" s="1"/>
  <c r="P6" i="20" a="1"/>
  <c r="P6" i="20" s="1"/>
  <c r="P10" i="20" a="1"/>
  <c r="P10" i="20" s="1"/>
  <c r="O25" i="20" a="1"/>
  <c r="O25" i="20" s="1"/>
  <c r="O15" i="20" a="1"/>
  <c r="O15" i="20" s="1"/>
  <c r="K14" i="20" a="1"/>
  <c r="K14" i="20" s="1"/>
  <c r="O19" i="20" a="1"/>
  <c r="O19" i="20" s="1"/>
  <c r="N8" i="20"/>
  <c r="P7" i="20" a="1"/>
  <c r="P7" i="20" s="1"/>
  <c r="P20" i="20" a="1"/>
  <c r="P20" i="20" s="1"/>
  <c r="K2" i="20" a="1"/>
  <c r="K2" i="20" s="1"/>
  <c r="K24" i="20" a="1"/>
  <c r="K24" i="20" s="1"/>
  <c r="N19" i="20"/>
  <c r="N23" i="20"/>
  <c r="N13" i="20"/>
  <c r="N12" i="20"/>
  <c r="N21" i="20"/>
  <c r="K4" i="20" a="1"/>
  <c r="K4" i="20" s="1"/>
  <c r="P21" i="20" a="1"/>
  <c r="P21" i="20" s="1"/>
  <c r="P11" i="20" a="1"/>
  <c r="P11" i="20" s="1"/>
  <c r="O26" i="20" a="1"/>
  <c r="O26" i="20" s="1"/>
  <c r="O16" i="20" a="1"/>
  <c r="O16" i="20" s="1"/>
  <c r="O6" i="20" a="1"/>
  <c r="O6" i="20" s="1"/>
  <c r="K23" i="20" a="1"/>
  <c r="K23" i="20" s="1"/>
  <c r="K13" i="20" a="1"/>
  <c r="K13" i="20" s="1"/>
  <c r="K3" i="20" a="1"/>
  <c r="K3" i="20" s="1"/>
  <c r="L7" i="20" a="1"/>
  <c r="L7" i="20" s="1"/>
  <c r="N7" i="20" s="1"/>
  <c r="O23" i="20" a="1"/>
  <c r="O23" i="20" s="1"/>
  <c r="O12" i="20" a="1"/>
  <c r="O12" i="20" s="1"/>
  <c r="O2" i="20" a="1"/>
  <c r="O2" i="20" s="1"/>
  <c r="P19" i="20" a="1"/>
  <c r="P19" i="20" s="1"/>
  <c r="K10" i="20" a="1"/>
  <c r="K10" i="20" s="1"/>
  <c r="K8" i="20" a="1"/>
  <c r="K8" i="20" s="1"/>
  <c r="K12" i="20" a="1"/>
  <c r="K12" i="20" s="1"/>
  <c r="L26" i="20" a="1"/>
  <c r="L26" i="20" s="1"/>
  <c r="N26" i="20" s="1"/>
  <c r="L5" i="20" a="1"/>
  <c r="L5" i="20" s="1"/>
  <c r="N5" i="20" s="1"/>
  <c r="L4" i="20" a="1"/>
  <c r="L4" i="20" s="1"/>
  <c r="N4" i="20" s="1"/>
  <c r="L3" i="20" a="1"/>
  <c r="L3" i="20" s="1"/>
  <c r="N3" i="20" s="1"/>
  <c r="P5" i="20" a="1"/>
  <c r="P5" i="20" s="1"/>
  <c r="O20" i="20" a="1"/>
  <c r="O20" i="20" s="1"/>
  <c r="O10" i="20" a="1"/>
  <c r="O10" i="20" s="1"/>
  <c r="P9" i="20" a="1"/>
  <c r="P9" i="20" s="1"/>
  <c r="L16" i="20" a="1"/>
  <c r="L16" i="20" s="1"/>
  <c r="N16" i="20" s="1"/>
  <c r="P18" i="20" a="1"/>
  <c r="P18" i="20" s="1"/>
  <c r="K9" i="20" a="1"/>
  <c r="K9" i="20" s="1"/>
  <c r="P16" i="20" a="1"/>
  <c r="P16" i="20" s="1"/>
  <c r="K7" i="20" a="1"/>
  <c r="K7" i="20" s="1"/>
  <c r="K22" i="20" a="1"/>
  <c r="K22" i="20" s="1"/>
  <c r="L6" i="20" a="1"/>
  <c r="L6" i="20" s="1"/>
  <c r="N6" i="20" s="1"/>
  <c r="K21" i="20" a="1"/>
  <c r="K21" i="20" s="1"/>
  <c r="L25" i="20" a="1"/>
  <c r="L25" i="20" s="1"/>
  <c r="N25" i="20" s="1"/>
  <c r="L24" i="20" a="1"/>
  <c r="L24" i="20" s="1"/>
  <c r="N24" i="20" s="1"/>
  <c r="O11" i="20" a="1"/>
  <c r="O11" i="20" s="1"/>
  <c r="L22" i="20" a="1"/>
  <c r="L22" i="20" s="1"/>
  <c r="N22" i="20" s="1"/>
  <c r="K17" i="20" a="1"/>
  <c r="K17" i="20" s="1"/>
  <c r="P24" i="20" a="1"/>
  <c r="P24" i="20" s="1"/>
  <c r="P14" i="20" a="1"/>
  <c r="P14" i="20" s="1"/>
  <c r="P4" i="20" a="1"/>
  <c r="P4" i="20" s="1"/>
  <c r="O24" i="20" a="1"/>
  <c r="O24" i="20" s="1"/>
  <c r="O3" i="20" a="1"/>
  <c r="O3" i="20" s="1"/>
  <c r="L15" i="20" a="1"/>
  <c r="L15" i="20" s="1"/>
  <c r="N15" i="20" s="1"/>
  <c r="K19" i="20" a="1"/>
  <c r="K19" i="20" s="1"/>
  <c r="L23" i="20" a="1"/>
  <c r="L23" i="20" s="1"/>
  <c r="L13" i="20" a="1"/>
  <c r="L13" i="20" s="1"/>
  <c r="K18" i="20" a="1"/>
  <c r="K18" i="20" s="1"/>
  <c r="P15" i="20" a="1"/>
  <c r="P15" i="20" s="1"/>
  <c r="L21" i="20" a="1"/>
  <c r="L21" i="20" s="1"/>
  <c r="L11" i="20" a="1"/>
  <c r="L11" i="20" s="1"/>
  <c r="N11" i="20" s="1"/>
  <c r="K26" i="20" a="1"/>
  <c r="K26" i="20" s="1"/>
  <c r="K16" i="20" a="1"/>
  <c r="K16" i="20" s="1"/>
  <c r="K6" i="20" a="1"/>
  <c r="K6" i="20" s="1"/>
  <c r="L17" i="20" a="1"/>
  <c r="L17" i="20" s="1"/>
  <c r="N17" i="20" s="1"/>
  <c r="O4" i="20" a="1"/>
  <c r="O4" i="20" s="1"/>
  <c r="O13" i="20" a="1"/>
  <c r="O13" i="20" s="1"/>
  <c r="O22" i="20" a="1"/>
  <c r="O22" i="20" s="1"/>
  <c r="L14" i="20" a="1"/>
  <c r="L14" i="20" s="1"/>
  <c r="N14" i="20" s="1"/>
  <c r="L2" i="20" a="1"/>
  <c r="L2" i="20" s="1"/>
  <c r="N2" i="20" s="1"/>
  <c r="P23" i="20" a="1"/>
  <c r="P23" i="20" s="1"/>
  <c r="P13" i="20" a="1"/>
  <c r="P13" i="20" s="1"/>
  <c r="P3" i="20" a="1"/>
  <c r="P3" i="20" s="1"/>
  <c r="O18" i="20" a="1"/>
  <c r="O18" i="20" s="1"/>
  <c r="O8" i="20" a="1"/>
  <c r="O8" i="20" s="1"/>
  <c r="O14" i="20" a="1"/>
  <c r="O14" i="20" s="1"/>
  <c r="P8" i="20" a="1"/>
  <c r="P8" i="20" s="1"/>
  <c r="P26" i="20" a="1"/>
  <c r="P26" i="20" s="1"/>
  <c r="P25" i="20" a="1"/>
  <c r="P25" i="20" s="1"/>
  <c r="L10" i="20" a="1"/>
  <c r="L10" i="20" s="1"/>
  <c r="N10" i="20" s="1"/>
  <c r="K25" i="20" a="1"/>
  <c r="K25" i="20" s="1"/>
  <c r="K5" i="20" a="1"/>
  <c r="K5" i="20" s="1"/>
  <c r="P17" i="20" a="1"/>
  <c r="P17" i="20" s="1"/>
  <c r="P2" i="20" a="1"/>
  <c r="P2" i="20" s="1"/>
  <c r="P20" i="18" a="1"/>
  <c r="P20" i="18" s="1"/>
  <c r="R20" i="18" s="1"/>
  <c r="U20" i="18" s="1"/>
  <c r="S20" i="18" a="1"/>
  <c r="S20" i="18" s="1"/>
  <c r="O20" i="18" a="1"/>
  <c r="O20" i="18" s="1"/>
  <c r="O19" i="18" a="1"/>
  <c r="O19" i="18" s="1"/>
  <c r="S19" i="18" a="1"/>
  <c r="S19" i="18" s="1"/>
  <c r="S5" i="18" a="1"/>
  <c r="S5" i="18" s="1"/>
  <c r="T19" i="18" a="1"/>
  <c r="T19" i="18" s="1"/>
  <c r="O14" i="18" a="1"/>
  <c r="O14" i="18" s="1"/>
  <c r="O13" i="18" a="1"/>
  <c r="O13" i="18" s="1"/>
  <c r="O4" i="18" a="1"/>
  <c r="O4" i="18" s="1"/>
  <c r="O3" i="18" a="1"/>
  <c r="O3" i="18" s="1"/>
  <c r="T12" i="18" a="1"/>
  <c r="T12" i="18" s="1"/>
  <c r="T20" i="18" a="1"/>
  <c r="T20" i="18" s="1"/>
  <c r="R13" i="18"/>
  <c r="U13" i="18" s="1"/>
  <c r="S9" i="18" a="1"/>
  <c r="S9" i="18" s="1"/>
  <c r="T11" i="18" a="1"/>
  <c r="T11" i="18" s="1"/>
  <c r="P2" i="18" a="1"/>
  <c r="P2" i="18" s="1"/>
  <c r="R2" i="18" s="1"/>
  <c r="U2" i="18" s="1"/>
  <c r="P19" i="18" a="1"/>
  <c r="P19" i="18" s="1"/>
  <c r="R19" i="18" s="1"/>
  <c r="U19" i="18" s="1"/>
  <c r="S7" i="18" a="1"/>
  <c r="S7" i="18" s="1"/>
  <c r="O21" i="18" a="1"/>
  <c r="O21" i="18" s="1"/>
  <c r="P21" i="18" a="1"/>
  <c r="P21" i="18" s="1"/>
  <c r="R21" i="18" s="1"/>
  <c r="U21" i="18" s="1"/>
  <c r="S21" i="18" a="1"/>
  <c r="S21" i="18" s="1"/>
  <c r="S15" i="18" a="1"/>
  <c r="S15" i="18" s="1"/>
  <c r="S17" i="18" a="1"/>
  <c r="S17" i="18" s="1"/>
  <c r="P6" i="18" a="1"/>
  <c r="P6" i="18" s="1"/>
  <c r="R6" i="18" s="1"/>
  <c r="U6" i="18" s="1"/>
  <c r="P14" i="18" a="1"/>
  <c r="P14" i="18" s="1"/>
  <c r="R14" i="18" s="1"/>
  <c r="U14" i="18" s="1"/>
  <c r="P11" i="18" a="1"/>
  <c r="P11" i="18" s="1"/>
  <c r="R11" i="18" s="1"/>
  <c r="U11" i="18" s="1"/>
  <c r="T10" i="18" a="1"/>
  <c r="T10" i="18" s="1"/>
  <c r="P18" i="18" a="1"/>
  <c r="P18" i="18" s="1"/>
  <c r="R18" i="18" s="1"/>
  <c r="U18" i="18" s="1"/>
  <c r="T22" i="18" a="1"/>
  <c r="T22" i="18" s="1"/>
  <c r="P9" i="18" a="1"/>
  <c r="P9" i="18" s="1"/>
  <c r="R9" i="18" s="1"/>
  <c r="U9" i="18" s="1"/>
  <c r="T2" i="18" a="1"/>
  <c r="T2" i="18" s="1"/>
  <c r="O23" i="18" a="1"/>
  <c r="O23" i="18" s="1"/>
  <c r="O18" i="18" a="1"/>
  <c r="O18" i="18" s="1"/>
  <c r="S6" i="18" a="1"/>
  <c r="S6" i="18" s="1"/>
  <c r="S13" i="18" a="1"/>
  <c r="S13" i="18" s="1"/>
  <c r="P13" i="18" a="1"/>
  <c r="P13" i="18" s="1"/>
  <c r="T21" i="18" a="1"/>
  <c r="T21" i="18" s="1"/>
  <c r="P23" i="18" a="1"/>
  <c r="P23" i="18" s="1"/>
  <c r="R23" i="18" s="1"/>
  <c r="U23" i="18" s="1"/>
  <c r="O26" i="18" a="1"/>
  <c r="O26" i="18" s="1"/>
  <c r="O6" i="18" a="1"/>
  <c r="O6" i="18" s="1"/>
  <c r="O25" i="18" a="1"/>
  <c r="O25" i="18" s="1"/>
  <c r="S26" i="18" a="1"/>
  <c r="S26" i="18" s="1"/>
  <c r="R22" i="18"/>
  <c r="U22" i="18" s="1"/>
  <c r="S25" i="18" a="1"/>
  <c r="S25" i="18" s="1"/>
  <c r="P8" i="18" a="1"/>
  <c r="P8" i="18" s="1"/>
  <c r="R8" i="18" s="1"/>
  <c r="U8" i="18" s="1"/>
  <c r="P7" i="18" a="1"/>
  <c r="P7" i="18" s="1"/>
  <c r="R7" i="18" s="1"/>
  <c r="U7" i="18" s="1"/>
  <c r="O2" i="18" a="1"/>
  <c r="O2" i="18" s="1"/>
  <c r="S14" i="18" a="1"/>
  <c r="S14" i="18" s="1"/>
  <c r="P26" i="18" a="1"/>
  <c r="P26" i="18" s="1"/>
  <c r="R26" i="18" s="1"/>
  <c r="U26" i="18" s="1"/>
  <c r="P16" i="18" a="1"/>
  <c r="P16" i="18" s="1"/>
  <c r="R16" i="18" s="1"/>
  <c r="U16" i="18" s="1"/>
  <c r="T8" i="18" a="1"/>
  <c r="T8" i="18" s="1"/>
  <c r="S3" i="18" a="1"/>
  <c r="S3" i="18" s="1"/>
  <c r="P5" i="18" a="1"/>
  <c r="P5" i="18" s="1"/>
  <c r="R5" i="18" s="1"/>
  <c r="U5" i="18" s="1"/>
  <c r="T17" i="18" a="1"/>
  <c r="T17" i="18" s="1"/>
  <c r="S12" i="18" a="1"/>
  <c r="S12" i="18" s="1"/>
  <c r="O9" i="18" a="1"/>
  <c r="O9" i="18" s="1"/>
  <c r="T16" i="18" a="1"/>
  <c r="T16" i="18" s="1"/>
  <c r="O8" i="18" a="1"/>
  <c r="O8" i="18" s="1"/>
  <c r="T15" i="18" a="1"/>
  <c r="T15" i="18" s="1"/>
  <c r="P22" i="18" a="1"/>
  <c r="P22" i="18" s="1"/>
  <c r="P12" i="18" a="1"/>
  <c r="P12" i="18" s="1"/>
  <c r="R12" i="18" s="1"/>
  <c r="U12" i="18" s="1"/>
  <c r="O17" i="18" a="1"/>
  <c r="O17" i="18" s="1"/>
  <c r="T4" i="18" a="1"/>
  <c r="T4" i="18" s="1"/>
  <c r="T23" i="18" a="1"/>
  <c r="T23" i="18" s="1"/>
  <c r="T13" i="18" a="1"/>
  <c r="T13" i="18" s="1"/>
  <c r="T3" i="18" a="1"/>
  <c r="T3" i="18" s="1"/>
  <c r="S18" i="18" a="1"/>
  <c r="S18" i="18" s="1"/>
  <c r="S8" i="18" a="1"/>
  <c r="S8" i="18" s="1"/>
  <c r="O22" i="18" a="1"/>
  <c r="O22" i="18" s="1"/>
  <c r="T9" i="18" a="1"/>
  <c r="T9" i="18" s="1"/>
  <c r="S4" i="18" a="1"/>
  <c r="S4" i="18" s="1"/>
  <c r="O11" i="18" a="1"/>
  <c r="O11" i="18" s="1"/>
  <c r="S23" i="18" a="1"/>
  <c r="S23" i="18" s="1"/>
  <c r="P25" i="18" a="1"/>
  <c r="P25" i="18" s="1"/>
  <c r="R25" i="18" s="1"/>
  <c r="U25" i="18" s="1"/>
  <c r="P15" i="18" a="1"/>
  <c r="P15" i="18" s="1"/>
  <c r="R15" i="18" s="1"/>
  <c r="U15" i="18" s="1"/>
  <c r="T7" i="18" a="1"/>
  <c r="T7" i="18" s="1"/>
  <c r="S2" i="18" a="1"/>
  <c r="S2" i="18" s="1"/>
  <c r="P4" i="18" a="1"/>
  <c r="P4" i="18" s="1"/>
  <c r="R4" i="18" s="1"/>
  <c r="U4" i="18" s="1"/>
  <c r="T26" i="18" a="1"/>
  <c r="T26" i="18" s="1"/>
  <c r="S11" i="18" a="1"/>
  <c r="S11" i="18" s="1"/>
  <c r="P3" i="18" a="1"/>
  <c r="P3" i="18" s="1"/>
  <c r="R3" i="18" s="1"/>
  <c r="U3" i="18" s="1"/>
  <c r="T25" i="18" a="1"/>
  <c r="T25" i="18" s="1"/>
  <c r="S10" i="18" a="1"/>
  <c r="S10" i="18" s="1"/>
  <c r="O7" i="18" a="1"/>
  <c r="O7" i="18" s="1"/>
  <c r="T14" i="18" a="1"/>
  <c r="T14" i="18" s="1"/>
  <c r="O16" i="18" a="1"/>
  <c r="O16" i="18" s="1"/>
  <c r="P10" i="18" a="1"/>
  <c r="P10" i="18" s="1"/>
  <c r="R10" i="18" s="1"/>
  <c r="U10" i="18" s="1"/>
  <c r="O15" i="18" a="1"/>
  <c r="O15" i="18" s="1"/>
  <c r="O5" i="18" a="1"/>
  <c r="O5" i="18" s="1"/>
  <c r="P17" i="18" a="1"/>
  <c r="P17" i="18" s="1"/>
  <c r="R17" i="18" s="1"/>
  <c r="U17" i="18" s="1"/>
  <c r="O12" i="18" a="1"/>
  <c r="O12" i="18" s="1"/>
  <c r="S24" i="18" a="1"/>
  <c r="S24" i="18" s="1"/>
  <c r="T18" i="18" a="1"/>
  <c r="T18" i="18" s="1"/>
  <c r="O10" i="18" a="1"/>
  <c r="O10" i="18" s="1"/>
  <c r="S22" i="18" a="1"/>
  <c r="S22" i="18" s="1"/>
  <c r="P24" i="18" a="1"/>
  <c r="P24" i="18" s="1"/>
  <c r="R24" i="18" s="1"/>
  <c r="U24" i="18" s="1"/>
  <c r="T6" i="18" a="1"/>
  <c r="T6" i="18" s="1"/>
  <c r="T5" i="18" a="1"/>
  <c r="T5" i="18" s="1"/>
  <c r="T24" i="18" a="1"/>
  <c r="T24" i="18" s="1"/>
  <c r="S6" i="17" a="1"/>
  <c r="S6" i="17" s="1"/>
  <c r="X8" i="17" a="1"/>
  <c r="X8" i="17" s="1"/>
  <c r="X22" i="17" a="1"/>
  <c r="X22" i="17" s="1"/>
  <c r="O23" i="17" a="1"/>
  <c r="O23" i="17" s="1"/>
  <c r="N9" i="17" a="1"/>
  <c r="N9" i="17" s="1"/>
  <c r="R16" i="17" a="1"/>
  <c r="R16" i="17" s="1"/>
  <c r="V24" i="17" a="1"/>
  <c r="V24" i="17" s="1"/>
  <c r="N8" i="17" a="1"/>
  <c r="N8" i="17" s="1"/>
  <c r="V21" i="17" a="1"/>
  <c r="V21" i="17" s="1"/>
  <c r="R21" i="17" a="1"/>
  <c r="R21" i="17" s="1"/>
  <c r="T21" i="17" a="1"/>
  <c r="T21" i="17" s="1"/>
  <c r="S21" i="17" a="1"/>
  <c r="S21" i="17" s="1"/>
  <c r="X21" i="17" a="1"/>
  <c r="X21" i="17" s="1"/>
  <c r="Y21" i="17" s="1"/>
  <c r="U21" i="17" a="1"/>
  <c r="U21" i="17" s="1"/>
  <c r="R17" i="17" a="1"/>
  <c r="R17" i="17" s="1"/>
  <c r="Y2" i="17"/>
  <c r="V20" i="17" a="1"/>
  <c r="V20" i="17" s="1"/>
  <c r="X20" i="17" a="1"/>
  <c r="X20" i="17" s="1"/>
  <c r="Y20" i="17" s="1"/>
  <c r="Q20" i="17" s="1"/>
  <c r="W20" i="17" s="1"/>
  <c r="R20" i="17" a="1"/>
  <c r="R20" i="17" s="1"/>
  <c r="T20" i="17" a="1"/>
  <c r="T20" i="17" s="1"/>
  <c r="O20" i="17" a="1"/>
  <c r="O20" i="17" s="1"/>
  <c r="U20" i="17" a="1"/>
  <c r="U20" i="17" s="1"/>
  <c r="S20" i="17" a="1"/>
  <c r="S20" i="17" s="1"/>
  <c r="O36" i="17" a="1"/>
  <c r="O36" i="17" s="1"/>
  <c r="X36" i="17" a="1"/>
  <c r="X36" i="17" s="1"/>
  <c r="Y36" i="17" s="1"/>
  <c r="Q36" i="17" s="1"/>
  <c r="W36" i="17" s="1"/>
  <c r="R36" i="17" a="1"/>
  <c r="R36" i="17" s="1"/>
  <c r="U36" i="17" a="1"/>
  <c r="U36" i="17" s="1"/>
  <c r="S36" i="17" a="1"/>
  <c r="S36" i="17" s="1"/>
  <c r="T36" i="17" a="1"/>
  <c r="T36" i="17" s="1"/>
  <c r="X18" i="17" a="1"/>
  <c r="X18" i="17" s="1"/>
  <c r="Y18" i="17" s="1"/>
  <c r="O18" i="17" a="1"/>
  <c r="O18" i="17" s="1"/>
  <c r="U18" i="17" a="1"/>
  <c r="U18" i="17" s="1"/>
  <c r="S18" i="17" a="1"/>
  <c r="S18" i="17" s="1"/>
  <c r="N18" i="17" a="1"/>
  <c r="N18" i="17" s="1"/>
  <c r="O17" i="17" a="1"/>
  <c r="O17" i="17" s="1"/>
  <c r="S3" i="17" a="1"/>
  <c r="S3" i="17" s="1"/>
  <c r="T25" i="17" a="1"/>
  <c r="T25" i="17" s="1"/>
  <c r="V18" i="17" a="1"/>
  <c r="V18" i="17" s="1"/>
  <c r="R15" i="17" a="1"/>
  <c r="R15" i="17" s="1"/>
  <c r="T10" i="17" a="1"/>
  <c r="T10" i="17" s="1"/>
  <c r="T18" i="17" a="1"/>
  <c r="T18" i="17" s="1"/>
  <c r="R27" i="17" a="1"/>
  <c r="R27" i="17" s="1"/>
  <c r="O32" i="17" a="1"/>
  <c r="O32" i="17" s="1"/>
  <c r="S28" i="17" a="1"/>
  <c r="S28" i="17" s="1"/>
  <c r="U11" i="17" a="1"/>
  <c r="U11" i="17" s="1"/>
  <c r="T34" i="17" a="1"/>
  <c r="T34" i="17" s="1"/>
  <c r="T33" i="17" a="1"/>
  <c r="T33" i="17" s="1"/>
  <c r="S14" i="17" a="1"/>
  <c r="S14" i="17" s="1"/>
  <c r="X5" i="17" a="1"/>
  <c r="X5" i="17" s="1"/>
  <c r="Y5" i="17" s="1"/>
  <c r="S13" i="17" a="1"/>
  <c r="S13" i="17" s="1"/>
  <c r="N36" i="17" a="1"/>
  <c r="N36" i="17" s="1"/>
  <c r="N25" i="17" a="1"/>
  <c r="N25" i="17" s="1"/>
  <c r="X23" i="17" a="1"/>
  <c r="X23" i="17" s="1"/>
  <c r="Y23" i="17" s="1"/>
  <c r="Q23" i="17" s="1"/>
  <c r="W23" i="17" s="1"/>
  <c r="T15" i="17" a="1"/>
  <c r="T15" i="17" s="1"/>
  <c r="O34" i="17" a="1"/>
  <c r="O34" i="17" s="1"/>
  <c r="R32" i="17" a="1"/>
  <c r="R32" i="17" s="1"/>
  <c r="N20" i="17" a="1"/>
  <c r="N20" i="17" s="1"/>
  <c r="R18" i="17" a="1"/>
  <c r="R18" i="17" s="1"/>
  <c r="N22" i="17" a="1"/>
  <c r="N22" i="17" s="1"/>
  <c r="R22" i="17" a="1"/>
  <c r="R22" i="17" s="1"/>
  <c r="V22" i="17" a="1"/>
  <c r="V22" i="17" s="1"/>
  <c r="T22" i="17" a="1"/>
  <c r="T22" i="17" s="1"/>
  <c r="U22" i="17" a="1"/>
  <c r="U22" i="17" s="1"/>
  <c r="S22" i="17" a="1"/>
  <c r="S22" i="17" s="1"/>
  <c r="X2" i="17" a="1"/>
  <c r="X2" i="17" s="1"/>
  <c r="O21" i="17" a="1"/>
  <c r="O21" i="17" s="1"/>
  <c r="R19" i="17" a="1"/>
  <c r="R19" i="17" s="1"/>
  <c r="T19" i="17" a="1"/>
  <c r="T19" i="17" s="1"/>
  <c r="V19" i="17" a="1"/>
  <c r="V19" i="17" s="1"/>
  <c r="X19" i="17" a="1"/>
  <c r="X19" i="17" s="1"/>
  <c r="Y19" i="17" s="1"/>
  <c r="O19" i="17" a="1"/>
  <c r="O19" i="17" s="1"/>
  <c r="S19" i="17" a="1"/>
  <c r="S19" i="17" s="1"/>
  <c r="U19" i="17" a="1"/>
  <c r="U19" i="17" s="1"/>
  <c r="V17" i="17" a="1"/>
  <c r="V17" i="17" s="1"/>
  <c r="O2" i="17" a="1"/>
  <c r="O2" i="17" s="1"/>
  <c r="X24" i="17" a="1"/>
  <c r="X24" i="17" s="1"/>
  <c r="Y24" i="17" s="1"/>
  <c r="Q24" i="17" s="1"/>
  <c r="W24" i="17" s="1"/>
  <c r="V36" i="17" a="1"/>
  <c r="V36" i="17" s="1"/>
  <c r="U27" i="17" a="1"/>
  <c r="U27" i="17" s="1"/>
  <c r="O33" i="17" a="1"/>
  <c r="O33" i="17" s="1"/>
  <c r="U3" i="17" a="1"/>
  <c r="U3" i="17" s="1"/>
  <c r="S30" i="17" a="1"/>
  <c r="S30" i="17" s="1"/>
  <c r="O22" i="17" a="1"/>
  <c r="O22" i="17" s="1"/>
  <c r="U12" i="17" a="1"/>
  <c r="U12" i="17" s="1"/>
  <c r="V10" i="17" a="1"/>
  <c r="V10" i="17" s="1"/>
  <c r="O4" i="17" a="1"/>
  <c r="O4" i="17" s="1"/>
  <c r="X4" i="17" a="1"/>
  <c r="X4" i="17" s="1"/>
  <c r="Y4" i="17" s="1"/>
  <c r="R4" i="17" a="1"/>
  <c r="R4" i="17" s="1"/>
  <c r="N4" i="17" a="1"/>
  <c r="N4" i="17" s="1"/>
  <c r="U4" i="17" a="1"/>
  <c r="U4" i="17" s="1"/>
  <c r="T4" i="17" a="1"/>
  <c r="T4" i="17" s="1"/>
  <c r="V4" i="17" a="1"/>
  <c r="V4" i="17" s="1"/>
  <c r="V9" i="17" a="1"/>
  <c r="V9" i="17" s="1"/>
  <c r="S4" i="17" a="1"/>
  <c r="S4" i="17" s="1"/>
  <c r="X34" i="17" a="1"/>
  <c r="X34" i="17" s="1"/>
  <c r="Y34" i="17" s="1"/>
  <c r="X16" i="17" a="1"/>
  <c r="X16" i="17" s="1"/>
  <c r="Y16" i="17" s="1"/>
  <c r="X15" i="17" a="1"/>
  <c r="X15" i="17" s="1"/>
  <c r="Y15" i="17" s="1"/>
  <c r="Q15" i="17" s="1"/>
  <c r="W15" i="17" s="1"/>
  <c r="X31" i="17" a="1"/>
  <c r="X31" i="17" s="1"/>
  <c r="Y31" i="17" s="1"/>
  <c r="U28" i="17" a="1"/>
  <c r="U28" i="17" s="1"/>
  <c r="R33" i="17" a="1"/>
  <c r="R33" i="17" s="1"/>
  <c r="N21" i="17" a="1"/>
  <c r="N21" i="17" s="1"/>
  <c r="V25" i="17" a="1"/>
  <c r="V25" i="17" s="1"/>
  <c r="X3" i="17" a="1"/>
  <c r="X3" i="17" s="1"/>
  <c r="Y3" i="17" s="1"/>
  <c r="R31" i="17" a="1"/>
  <c r="R31" i="17" s="1"/>
  <c r="N19" i="17" a="1"/>
  <c r="N19" i="17" s="1"/>
  <c r="Y8" i="17"/>
  <c r="N23" i="17" a="1"/>
  <c r="N23" i="17" s="1"/>
  <c r="S23" i="17" a="1"/>
  <c r="S23" i="17" s="1"/>
  <c r="T23" i="17" a="1"/>
  <c r="T23" i="17" s="1"/>
  <c r="V23" i="17" a="1"/>
  <c r="V23" i="17" s="1"/>
  <c r="R23" i="17" a="1"/>
  <c r="R23" i="17" s="1"/>
  <c r="X7" i="17" a="1"/>
  <c r="X7" i="17" s="1"/>
  <c r="Y7" i="17" s="1"/>
  <c r="Q7" i="17" s="1"/>
  <c r="W7" i="17" s="1"/>
  <c r="V14" i="17" a="1"/>
  <c r="V14" i="17" s="1"/>
  <c r="S29" i="17" a="1"/>
  <c r="S29" i="17" s="1"/>
  <c r="T31" i="17" a="1"/>
  <c r="T31" i="17" s="1"/>
  <c r="O35" i="17" a="1"/>
  <c r="O35" i="17" s="1"/>
  <c r="X35" i="17" a="1"/>
  <c r="X35" i="17" s="1"/>
  <c r="Y35" i="17" s="1"/>
  <c r="Q35" i="17" s="1"/>
  <c r="W35" i="17" s="1"/>
  <c r="U35" i="17" a="1"/>
  <c r="U35" i="17" s="1"/>
  <c r="S35" i="17" a="1"/>
  <c r="S35" i="17" s="1"/>
  <c r="V35" i="17" a="1"/>
  <c r="V35" i="17" s="1"/>
  <c r="N35" i="17" a="1"/>
  <c r="N35" i="17" s="1"/>
  <c r="T35" i="17" a="1"/>
  <c r="T35" i="17" s="1"/>
  <c r="R35" i="17" a="1"/>
  <c r="R35" i="17" s="1"/>
  <c r="O7" i="17" a="1"/>
  <c r="O7" i="17" s="1"/>
  <c r="T27" i="17" a="1"/>
  <c r="T27" i="17" s="1"/>
  <c r="V8" i="17" a="1"/>
  <c r="V8" i="17" s="1"/>
  <c r="T26" i="17" a="1"/>
  <c r="T26" i="17" s="1"/>
  <c r="U29" i="17" a="1"/>
  <c r="U29" i="17" s="1"/>
  <c r="T16" i="17" a="1"/>
  <c r="T16" i="17" s="1"/>
  <c r="V26" i="17" a="1"/>
  <c r="V26" i="17" s="1"/>
  <c r="T14" i="17" a="1"/>
  <c r="T14" i="17" s="1"/>
  <c r="V5" i="17" a="1"/>
  <c r="V5" i="17" s="1"/>
  <c r="U13" i="17" a="1"/>
  <c r="U13" i="17" s="1"/>
  <c r="U10" i="17" a="1"/>
  <c r="U10" i="17" s="1"/>
  <c r="S27" i="17" a="1"/>
  <c r="S27" i="17" s="1"/>
  <c r="O31" i="17" a="1"/>
  <c r="O31" i="17" s="1"/>
  <c r="N34" i="17" a="1"/>
  <c r="N34" i="17" s="1"/>
  <c r="S32" i="17" a="1"/>
  <c r="S32" i="17" s="1"/>
  <c r="U32" i="17" a="1"/>
  <c r="U32" i="17" s="1"/>
  <c r="N32" i="17" a="1"/>
  <c r="N32" i="17" s="1"/>
  <c r="X32" i="17" a="1"/>
  <c r="X32" i="17" s="1"/>
  <c r="Y32" i="17" s="1"/>
  <c r="N14" i="17" a="1"/>
  <c r="N14" i="17" s="1"/>
  <c r="V34" i="17" a="1"/>
  <c r="V34" i="17" s="1"/>
  <c r="S11" i="17" a="1"/>
  <c r="S11" i="17" s="1"/>
  <c r="R10" i="17" a="1"/>
  <c r="R10" i="17" s="1"/>
  <c r="O15" i="17" a="1"/>
  <c r="O15" i="17" s="1"/>
  <c r="N17" i="17" a="1"/>
  <c r="N17" i="17" s="1"/>
  <c r="N3" i="17" a="1"/>
  <c r="N3" i="17" s="1"/>
  <c r="T7" i="17" a="1"/>
  <c r="T7" i="17" s="1"/>
  <c r="R9" i="17" a="1"/>
  <c r="R9" i="17" s="1"/>
  <c r="O14" i="17" a="1"/>
  <c r="O14" i="17" s="1"/>
  <c r="N24" i="17" a="1"/>
  <c r="N24" i="17" s="1"/>
  <c r="R28" i="17" a="1"/>
  <c r="R28" i="17" s="1"/>
  <c r="V32" i="17" a="1"/>
  <c r="V32" i="17" s="1"/>
  <c r="U31" i="17" a="1"/>
  <c r="U31" i="17" s="1"/>
  <c r="R8" i="17" a="1"/>
  <c r="R8" i="17" s="1"/>
  <c r="O27" i="17" a="1"/>
  <c r="O27" i="17" s="1"/>
  <c r="S2" i="17" a="1"/>
  <c r="S2" i="17" s="1"/>
  <c r="X30" i="17" a="1"/>
  <c r="X30" i="17" s="1"/>
  <c r="Y30" i="17" s="1"/>
  <c r="X14" i="17" a="1"/>
  <c r="X14" i="17" s="1"/>
  <c r="Y14" i="17" s="1"/>
  <c r="N27" i="17" a="1"/>
  <c r="N27" i="17" s="1"/>
  <c r="N11" i="17" a="1"/>
  <c r="N11" i="17" s="1"/>
  <c r="V7" i="17" a="1"/>
  <c r="V7" i="17" s="1"/>
  <c r="S12" i="17" a="1"/>
  <c r="S12" i="17" s="1"/>
  <c r="S15" i="17" a="1"/>
  <c r="S15" i="17" s="1"/>
  <c r="U15" i="17" a="1"/>
  <c r="U15" i="17" s="1"/>
  <c r="N15" i="17" a="1"/>
  <c r="N15" i="17" s="1"/>
  <c r="V2" i="17" a="1"/>
  <c r="V2" i="17" s="1"/>
  <c r="V6" i="17" a="1"/>
  <c r="V6" i="17" s="1"/>
  <c r="S10" i="17" a="1"/>
  <c r="S10" i="17" s="1"/>
  <c r="N28" i="17" a="1"/>
  <c r="N28" i="17" s="1"/>
  <c r="O25" i="17" a="1"/>
  <c r="O25" i="17" s="1"/>
  <c r="V31" i="17" a="1"/>
  <c r="V31" i="17" s="1"/>
  <c r="O5" i="17" a="1"/>
  <c r="O5" i="17" s="1"/>
  <c r="O3" i="17" a="1"/>
  <c r="O3" i="17" s="1"/>
  <c r="X33" i="17" a="1"/>
  <c r="X33" i="17" s="1"/>
  <c r="Y33" i="17" s="1"/>
  <c r="N16" i="17" a="1"/>
  <c r="N16" i="17" s="1"/>
  <c r="S16" i="17" a="1"/>
  <c r="S16" i="17" s="1"/>
  <c r="U16" i="17" a="1"/>
  <c r="U16" i="17" s="1"/>
  <c r="T5" i="17" a="1"/>
  <c r="T5" i="17" s="1"/>
  <c r="R14" i="17" a="1"/>
  <c r="R14" i="17" s="1"/>
  <c r="N30" i="17" a="1"/>
  <c r="N30" i="17" s="1"/>
  <c r="T24" i="17" a="1"/>
  <c r="T24" i="17" s="1"/>
  <c r="R25" i="17" a="1"/>
  <c r="R25" i="17" s="1"/>
  <c r="O12" i="17" a="1"/>
  <c r="O12" i="17" s="1"/>
  <c r="V30" i="17" a="1"/>
  <c r="V30" i="17" s="1"/>
  <c r="O30" i="17" a="1"/>
  <c r="O30" i="17" s="1"/>
  <c r="X6" i="17" a="1"/>
  <c r="X6" i="17" s="1"/>
  <c r="Y6" i="17" s="1"/>
  <c r="R11" i="17" a="1"/>
  <c r="R11" i="17" s="1"/>
  <c r="R24" i="17" a="1"/>
  <c r="R24" i="17" s="1"/>
  <c r="U6" i="17" a="1"/>
  <c r="U6" i="17" s="1"/>
  <c r="R7" i="17" a="1"/>
  <c r="R7" i="17" s="1"/>
  <c r="X25" i="17" a="1"/>
  <c r="X25" i="17" s="1"/>
  <c r="Y25" i="17" s="1"/>
  <c r="Q25" i="17" s="1"/>
  <c r="W25" i="17" s="1"/>
  <c r="X13" i="17" a="1"/>
  <c r="X13" i="17" s="1"/>
  <c r="Y13" i="17" s="1"/>
  <c r="N26" i="17" a="1"/>
  <c r="N26" i="17" s="1"/>
  <c r="N10" i="17" a="1"/>
  <c r="N10" i="17" s="1"/>
  <c r="U34" i="17" a="1"/>
  <c r="U34" i="17" s="1"/>
  <c r="S34" i="17" a="1"/>
  <c r="S34" i="17" s="1"/>
  <c r="S17" i="17" a="1"/>
  <c r="S17" i="17" s="1"/>
  <c r="U17" i="17" a="1"/>
  <c r="U17" i="17" s="1"/>
  <c r="N33" i="17" a="1"/>
  <c r="N33" i="17" s="1"/>
  <c r="S33" i="17" a="1"/>
  <c r="S33" i="17" s="1"/>
  <c r="U33" i="17" a="1"/>
  <c r="U33" i="17" s="1"/>
  <c r="T9" i="17" a="1"/>
  <c r="T9" i="17" s="1"/>
  <c r="R26" i="17" a="1"/>
  <c r="R26" i="17" s="1"/>
  <c r="O16" i="17" a="1"/>
  <c r="O16" i="17" s="1"/>
  <c r="X17" i="17" a="1"/>
  <c r="X17" i="17" s="1"/>
  <c r="Y17" i="17" s="1"/>
  <c r="N31" i="17" a="1"/>
  <c r="N31" i="17" s="1"/>
  <c r="T8" i="17" a="1"/>
  <c r="T8" i="17" s="1"/>
  <c r="O6" i="17" a="1"/>
  <c r="O6" i="17" s="1"/>
  <c r="Y22" i="17"/>
  <c r="N29" i="17" a="1"/>
  <c r="N29" i="17" s="1"/>
  <c r="V3" i="17" a="1"/>
  <c r="V3" i="17" s="1"/>
  <c r="V33" i="17" a="1"/>
  <c r="V33" i="17" s="1"/>
  <c r="R5" i="17" a="1"/>
  <c r="R5" i="17" s="1"/>
  <c r="R29" i="17" a="1"/>
  <c r="R29" i="17" s="1"/>
  <c r="N12" i="17" a="1"/>
  <c r="N12" i="17" s="1"/>
  <c r="T2" i="17" a="1"/>
  <c r="T2" i="17" s="1"/>
  <c r="O13" i="17" a="1"/>
  <c r="O13" i="17" s="1"/>
  <c r="V16" i="17" a="1"/>
  <c r="V16" i="17" s="1"/>
  <c r="V27" i="17" a="1"/>
  <c r="V27" i="17" s="1"/>
  <c r="V15" i="17" a="1"/>
  <c r="V15" i="17" s="1"/>
  <c r="U30" i="17" a="1"/>
  <c r="U30" i="17" s="1"/>
  <c r="U14" i="17" a="1"/>
  <c r="U14" i="17" s="1"/>
  <c r="T32" i="17" a="1"/>
  <c r="T32" i="17" s="1"/>
  <c r="T17" i="17" a="1"/>
  <c r="T17" i="17" s="1"/>
  <c r="S31" i="17" a="1"/>
  <c r="S31" i="17" s="1"/>
  <c r="R34" i="17" a="1"/>
  <c r="R34" i="17" s="1"/>
  <c r="R2" i="17" a="1"/>
  <c r="R2" i="17" s="1"/>
  <c r="O24" i="17" a="1"/>
  <c r="O24" i="17" s="1"/>
  <c r="O8" i="17" a="1"/>
  <c r="O8" i="17" s="1"/>
  <c r="X29" i="17" a="1"/>
  <c r="X29" i="17" s="1"/>
  <c r="Y29" i="17" s="1"/>
  <c r="N5" i="17" a="1"/>
  <c r="N5" i="17" s="1"/>
  <c r="U9" i="17" a="1"/>
  <c r="U9" i="17" s="1"/>
  <c r="T6" i="17" a="1"/>
  <c r="T6" i="17" s="1"/>
  <c r="X11" i="17" a="1"/>
  <c r="X11" i="17" s="1"/>
  <c r="Y11" i="17" s="1"/>
  <c r="O11" i="17" a="1"/>
  <c r="O11" i="17" s="1"/>
  <c r="U25" i="17" a="1"/>
  <c r="U25" i="17" s="1"/>
  <c r="U8" i="17" a="1"/>
  <c r="U8" i="17" s="1"/>
  <c r="T30" i="17" a="1"/>
  <c r="T30" i="17" s="1"/>
  <c r="T3" i="17" a="1"/>
  <c r="T3" i="17" s="1"/>
  <c r="S25" i="17" a="1"/>
  <c r="S25" i="17" s="1"/>
  <c r="S8" i="17" a="1"/>
  <c r="S8" i="17" s="1"/>
  <c r="R30" i="17" a="1"/>
  <c r="R30" i="17" s="1"/>
  <c r="R3" i="17" a="1"/>
  <c r="R3" i="17" s="1"/>
  <c r="X27" i="17" a="1"/>
  <c r="X27" i="17" s="1"/>
  <c r="Y27" i="17" s="1"/>
  <c r="X10" i="17" a="1"/>
  <c r="X10" i="17" s="1"/>
  <c r="Y10" i="17" s="1"/>
  <c r="O10" i="17" a="1"/>
  <c r="O10" i="17" s="1"/>
  <c r="X12" i="17" a="1"/>
  <c r="X12" i="17" s="1"/>
  <c r="Y12" i="17" s="1"/>
  <c r="U26" i="17" a="1"/>
  <c r="U26" i="17" s="1"/>
  <c r="T13" i="17" a="1"/>
  <c r="T13" i="17" s="1"/>
  <c r="O28" i="17" a="1"/>
  <c r="O28" i="17" s="1"/>
  <c r="V29" i="17" a="1"/>
  <c r="V29" i="17" s="1"/>
  <c r="V12" i="17" a="1"/>
  <c r="V12" i="17" s="1"/>
  <c r="U7" i="17" a="1"/>
  <c r="U7" i="17" s="1"/>
  <c r="T29" i="17" a="1"/>
  <c r="T29" i="17" s="1"/>
  <c r="T12" i="17" a="1"/>
  <c r="T12" i="17" s="1"/>
  <c r="S5" i="17" a="1"/>
  <c r="S5" i="17" s="1"/>
  <c r="S7" i="17" a="1"/>
  <c r="S7" i="17" s="1"/>
  <c r="R12" i="17" a="1"/>
  <c r="R12" i="17" s="1"/>
  <c r="O29" i="17" a="1"/>
  <c r="O29" i="17" s="1"/>
  <c r="N7" i="17" a="1"/>
  <c r="N7" i="17" s="1"/>
  <c r="V13" i="17" a="1"/>
  <c r="V13" i="17" s="1"/>
  <c r="S9" i="17" a="1"/>
  <c r="S9" i="17" s="1"/>
  <c r="R6" i="17" a="1"/>
  <c r="R6" i="17" s="1"/>
  <c r="R13" i="17" a="1"/>
  <c r="R13" i="17" s="1"/>
  <c r="N2" i="17" a="1"/>
  <c r="N2" i="17" s="1"/>
  <c r="U5" i="17" a="1"/>
  <c r="U5" i="17" s="1"/>
  <c r="X9" i="17" a="1"/>
  <c r="X9" i="17" s="1"/>
  <c r="Y9" i="17" s="1"/>
  <c r="O26" i="17" a="1"/>
  <c r="O26" i="17" s="1"/>
  <c r="O9" i="17" a="1"/>
  <c r="O9" i="17" s="1"/>
  <c r="N6" i="17" a="1"/>
  <c r="N6" i="17" s="1"/>
  <c r="N13" i="17" a="1"/>
  <c r="N13" i="17" s="1"/>
  <c r="S26" i="17" a="1"/>
  <c r="S26" i="17" s="1"/>
  <c r="X28" i="17" a="1"/>
  <c r="X28" i="17" s="1"/>
  <c r="Y28" i="17" s="1"/>
  <c r="X26" i="17" a="1"/>
  <c r="X26" i="17" s="1"/>
  <c r="Y26" i="17" s="1"/>
  <c r="Q26" i="17" s="1"/>
  <c r="W26" i="17" s="1"/>
  <c r="V28" i="17" a="1"/>
  <c r="V28" i="17" s="1"/>
  <c r="V11" i="17" a="1"/>
  <c r="V11" i="17" s="1"/>
  <c r="U24" i="17" a="1"/>
  <c r="U24" i="17" s="1"/>
  <c r="U2" i="17" a="1"/>
  <c r="U2" i="17" s="1"/>
  <c r="T28" i="17" a="1"/>
  <c r="T28" i="17" s="1"/>
  <c r="T11" i="17" a="1"/>
  <c r="T11" i="17" s="1"/>
  <c r="S24" i="17" a="1"/>
  <c r="S24" i="17" s="1"/>
  <c r="Q4" i="17" l="1"/>
  <c r="W4" i="17" s="1"/>
  <c r="Q34" i="17"/>
  <c r="W34" i="17" s="1"/>
  <c r="Q19" i="17"/>
  <c r="W19" i="17" s="1"/>
  <c r="Q28" i="17"/>
  <c r="W28" i="17" s="1"/>
  <c r="Q18" i="17"/>
  <c r="W18" i="17" s="1"/>
  <c r="Q8" i="17"/>
  <c r="W8" i="17" s="1"/>
  <c r="Q5" i="17"/>
  <c r="W5" i="17" s="1"/>
  <c r="Q3" i="17"/>
  <c r="W3" i="17" s="1"/>
  <c r="Q17" i="17"/>
  <c r="W17" i="17" s="1"/>
  <c r="Q2" i="17"/>
  <c r="W2" i="17" s="1"/>
  <c r="Q6" i="17"/>
  <c r="W6" i="17" s="1"/>
  <c r="Q31" i="17"/>
  <c r="W31" i="17" s="1"/>
  <c r="Q29" i="17"/>
  <c r="W29" i="17" s="1"/>
  <c r="Q9" i="17"/>
  <c r="W9" i="17" s="1"/>
  <c r="Q12" i="17"/>
  <c r="W12" i="17" s="1"/>
  <c r="Q13" i="17"/>
  <c r="W13" i="17" s="1"/>
  <c r="Q14" i="17"/>
  <c r="W14" i="17" s="1"/>
  <c r="Q11" i="17"/>
  <c r="W11" i="17" s="1"/>
  <c r="Q10" i="17"/>
  <c r="W10" i="17" s="1"/>
  <c r="Q22" i="17"/>
  <c r="W22" i="17" s="1"/>
  <c r="Q32" i="17"/>
  <c r="W32" i="17" s="1"/>
  <c r="Q21" i="17"/>
  <c r="W21" i="17" s="1"/>
  <c r="Q16" i="17"/>
  <c r="W16" i="17" s="1"/>
  <c r="Q27" i="17"/>
  <c r="W27" i="17" s="1"/>
  <c r="Q33" i="17"/>
  <c r="W33" i="17" s="1"/>
  <c r="Q30" i="17"/>
  <c r="W30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\\filur03.it.liu.se\students\basad559\documents\tnk089 labs arena\team4_uppgift1_2lptf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\\filur03.it.liu.se\students\basad559\documents\tnk089 labs arena\team4_uppgift1_2lptf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\\filur03.it.liu.se\students\basad559\documents\tnk089 labs arena\team4_uppgift1_2lptf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\\filur03.it.liu.se\students\basad559\documents\tnk089 labs arena\team4_uppgift1_2lptf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\\filur03.it.liu.se\students\basad559\documents\tnk089 labs arena\team4_uppgift1_2lptf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\\filur03.it.liu.se\students\basad559\documents\tnk089 labs arena\team4_uppgift1_2lptf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<sst xmlns="http://schemas.openxmlformats.org/spreadsheetml/2006/main" count="637" uniqueCount="99">
  <si>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</si>
  <si>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</si>
  <si>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</si>
  <si>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</si>
  <si>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</si>
  <si>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</si>
  <si>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</si>
  <si>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</si>
  <si>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</si>
  <si>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</si>
  <si>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</si>
  <si>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</si>
  <si>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</si>
  <si>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</si>
  <si>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</si>
  <si>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</si>
  <si>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</si>
  <si>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</si>
  <si>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</si>
  <si>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</si>
  <si>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</si>
  <si>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</si>
  <si>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</si>
  <si>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</si>
  <si>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</si>
  <si>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</si>
  <si>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</si>
  <si>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</si>
  <si>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</si>
  <si>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</si>
  <si>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</si>
  <si>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</si>
  <si>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</si>
  <si>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</si>
  <si>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</si>
  <si>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</si>
  <si>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</si>
  <si>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</si>
  <si>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</si>
  <si>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</si>
  <si>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</si>
  <si>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</si>
  <si>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</si>
  <si>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</si>
  <si>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</si>
  <si>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</si>
  <si>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</si>
  <si>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</si>
  <si>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</si>
  <si>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</si>
  <si>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</si>
  <si>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</si>
  <si>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</si>
  <si>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</si>
  <si>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</si>
  <si>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</si>
  <si>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</si>
  <si>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</si>
  <si>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</si>
  <si>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</si>
  <si>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</si>
  <si>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</si>
  <si>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</si>
  <si>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</si>
  <si>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</si>
  <si>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(blank)</t>
  </si>
  <si>
    <t>IsPeriodic</t>
  </si>
  <si>
    <t>Unnamed Project</t>
  </si>
  <si>
    <t>IncludeOption</t>
  </si>
  <si>
    <t>\\filur03.it.liu.se\students\basad559\Documents\TNK089 LABS ARENA\team4_uppgift1_2lptf.p</t>
  </si>
  <si>
    <t>2026-01-28 15:24:30</t>
  </si>
  <si>
    <t>Drilling center.Queue</t>
  </si>
  <si>
    <t>Waiting Time</t>
  </si>
  <si>
    <t>Queue</t>
  </si>
  <si>
    <t>Part</t>
  </si>
  <si>
    <t>NVA Time</t>
  </si>
  <si>
    <t>Entity</t>
  </si>
  <si>
    <t>Other Time</t>
  </si>
  <si>
    <t>Total Time</t>
  </si>
  <si>
    <t>Transfer Time</t>
  </si>
  <si>
    <t>VA Time</t>
  </si>
  <si>
    <t>Wait Time</t>
  </si>
  <si>
    <t>Drill press</t>
  </si>
  <si>
    <t>Instantaneous Utilization</t>
  </si>
  <si>
    <t>Resource</t>
  </si>
  <si>
    <t>Number Busy</t>
  </si>
  <si>
    <t>Number Scheduled</t>
  </si>
  <si>
    <t>Number Waiting</t>
  </si>
  <si>
    <t>WIP</t>
  </si>
  <si>
    <t>Drill press.NumberSeized</t>
  </si>
  <si>
    <t>Total Number Seized</t>
  </si>
  <si>
    <t>Drill press.ScheduledUtilization</t>
  </si>
  <si>
    <t>Scheduled Utilization</t>
  </si>
  <si>
    <t>Part.NumberIn</t>
  </si>
  <si>
    <t>Number In</t>
  </si>
  <si>
    <t>Part.NumberOut</t>
  </si>
  <si>
    <t>Number Out</t>
  </si>
  <si>
    <t>System.NumberOut</t>
  </si>
  <si>
    <t>System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</si>
</sst>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1">
    <dxf>
      <numFmt numFmtId="164" formatCode="[=400000000000000000000]&quot;Null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0]&quot;Days&quot;;;"/>
    </dxf>
    <dxf>
      <numFmt numFmtId="172" formatCode="[=1]&quot;Hours&quot;;;"/>
    </dxf>
    <dxf>
      <numFmt numFmtId="173" formatCode="[=2]&quot;Minutes&quot;;;"/>
    </dxf>
    <dxf>
      <numFmt numFmtId="174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050.642117939817" createdVersion="7" refreshedVersion="8" minRefreshableVersion="3" recordCount="35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"/>
    </cacheField>
    <cacheField name="Name" numFmtId="0">
      <sharedItems containsBlank="1" count="101">
        <s v="Drilling center.Queue"/>
        <s v="Part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Waiting Time"/>
        <s v="NVA Time"/>
        <s v="Other Time"/>
        <s v="Total Time"/>
        <s v="Transfer Time"/>
        <s v="VA Time"/>
        <s v="Wait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Queue"/>
        <s v="Entity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6.8869765950559803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1.5132872749330799"/>
    </cacheField>
    <cacheField name="Maximum" numFmtId="0">
      <sharedItems containsSemiMixedTypes="0" containsString="0" containsNumber="1" minValue="0" maxValue="67.726619898172203"/>
    </cacheField>
    <cacheField name="NumberObservations" numFmtId="0">
      <sharedItems containsSemiMixedTypes="0" containsString="0" containsNumber="1" containsInteger="1" minValue="134" maxValue="163"/>
    </cacheField>
    <cacheField name="GroupByKey" numFmtId="0">
      <sharedItems/>
    </cacheField>
    <cacheField name="RepsRequested" numFmtId="0">
      <sharedItems containsSemiMixedTypes="0" containsString="0" containsNumber="1" containsInteger="1" minValue="5" maxValue="5"/>
    </cacheField>
    <cacheField name="AverageOfAverage" numFmtId="0">
      <sharedItems containsSemiMixedTypes="0" containsString="0" containsNumber="1" minValue="0" maxValue="6.2805877424202201"/>
    </cacheField>
    <cacheField name="StDevOfAverage" numFmtId="0">
      <sharedItems containsSemiMixedTypes="0" containsString="0" containsNumber="1" minValue="0" maxValue="0.53744127250174434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0.66732147921423446"/>
    </cacheField>
    <cacheField name="MinimumAverage" numFmtId="0">
      <sharedItems containsSemiMixedTypes="0" containsString="0" containsNumber="1" minValue="0" maxValue="5.6189252231018001"/>
    </cacheField>
    <cacheField name="MaximumAverage" numFmtId="0">
      <sharedItems containsSemiMixedTypes="0" containsString="0" containsNumber="1" minValue="0" maxValue="6.8869765950559803"/>
    </cacheField>
    <cacheField name="OverallMinimum" numFmtId="0">
      <sharedItems containsSemiMixedTypes="0" containsString="0" containsNumber="1" minValue="0" maxValue="1.20224816547654"/>
    </cacheField>
    <cacheField name="OverallMaximum" numFmtId="0">
      <sharedItems containsSemiMixedTypes="0" containsString="0" containsNumber="1" minValue="0" maxValue="67.726619898172203"/>
    </cacheField>
    <cacheField name="AverageNumberObservations" numFmtId="0">
      <sharedItems containsSemiMixedTypes="0" containsString="0" containsNumber="1" minValue="150.80000000000001" maxValue="151.19999999999999"/>
    </cacheField>
    <cacheField name="SummaryHalfWidth" numFmtId="0">
      <sharedItems containsSemiMixedTypes="0" containsString="0" containsNumber="1" minValue="0" maxValue="0.66732147921423446"/>
    </cacheField>
    <cacheField name="RepsWithStatObserved" numFmtId="0">
      <sharedItems containsSemiMixedTypes="0" containsString="0" containsNumber="1" containsInteger="1" minValue="5" maxValue="5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050.642118055555" createdVersion="7" refreshedVersion="8" minRefreshableVersion="3" recordCount="25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"/>
    </cacheField>
    <cacheField name="Name" numFmtId="0">
      <sharedItems containsBlank="1" count="83">
        <s v="Drill press.NumberSeized"/>
        <s v="Drill press.ScheduledUtilization"/>
        <s v="Part.NumberIn"/>
        <s v="Part.NumberOut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Total Number Seized"/>
        <s v="Scheduled Utilization"/>
        <s v="Number In"/>
        <s v="Number Out"/>
        <m u="1"/>
        <s v="Accum VA Time" u="1"/>
        <s v="Accum Wait Time" u="1"/>
      </sharedItems>
    </cacheField>
    <cacheField name="Source" numFmtId="0">
      <sharedItems containsBlank="1" count="5">
        <s v="Resource"/>
        <s v="Entity"/>
        <s v="System"/>
        <m u="1"/>
        <s v="Process" u="1"/>
      </sharedItems>
    </cacheField>
    <cacheField name="RecordedValue" numFmtId="0">
      <sharedItems containsSemiMixedTypes="0" containsString="0" containsNumber="1" minValue="0.64421661257995999" maxValue="163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5" maxValue="5"/>
    </cacheField>
    <cacheField name="Average" numFmtId="0">
      <sharedItems containsSemiMixedTypes="0" containsString="0" containsNumber="1" minValue="0.69887379983755582" maxValue="151.19999999999999"/>
    </cacheField>
    <cacheField name="StandardDeviation" numFmtId="0">
      <sharedItems containsSemiMixedTypes="0" containsString="0" containsNumber="1" minValue="3.5921507178221228E-2" maxValue="11.519548602267365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4.4602442224415374E-2" maxValue="14.303408774993876"/>
    </cacheField>
    <cacheField name="Minimum" numFmtId="0">
      <sharedItems containsSemiMixedTypes="0" containsString="0" containsNumber="1" minValue="0.64421661257995999" maxValue="134"/>
    </cacheField>
    <cacheField name="Maximum" numFmtId="0">
      <sharedItems containsSemiMixedTypes="0" containsString="0" containsNumber="1" minValue="0.74385294251498302" maxValue="1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050.642118171294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050.642118171294" createdVersion="7" refreshedVersion="8" minRefreshableVersion="3" recordCount="25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"/>
    </cacheField>
    <cacheField name="Name" numFmtId="0">
      <sharedItems containsBlank="1" count="127">
        <s v="Drill press"/>
        <s v="Drilling center.Queue"/>
        <s v="Part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Instantaneous Utilization"/>
        <s v="Number Busy"/>
        <s v="Number Scheduled"/>
        <s v="Number Waiting"/>
        <s v="WIP"/>
        <m u="1"/>
        <s v="Levels" u="1"/>
      </sharedItems>
    </cacheField>
    <cacheField name="Source" numFmtId="0">
      <sharedItems containsBlank="1" count="5">
        <s v="Resource"/>
        <s v="Queue"/>
        <s v="Entity"/>
        <m u="1"/>
        <s v="User Specified" u="1"/>
      </sharedItems>
    </cacheField>
    <cacheField name="Average" numFmtId="0">
      <sharedItems containsSemiMixedTypes="0" containsString="0" containsNumber="1" minValue="0.47457207128148898" maxValue="1.3872595956732801"/>
    </cacheField>
    <cacheField name="BatchMeansHalfWidth" numFmtId="0">
      <sharedItems containsSemiMixedTypes="0" containsString="0" containsNumber="1" minValue="0.38845211228335702" maxValue="2E+20"/>
    </cacheField>
    <cacheField name="Minimum" numFmtId="0">
      <sharedItems containsSemiMixedTypes="0" containsString="0" containsNumber="1" containsInteger="1" minValue="0" maxValue="1"/>
    </cacheField>
    <cacheField name="Maximum" numFmtId="0">
      <sharedItems containsSemiMixedTypes="0" containsString="0" containsNumber="1" containsInteger="1" minValue="1" maxValue="7"/>
    </cacheField>
    <cacheField name="LastRecordedValue" numFmtId="0">
      <sharedItems containsSemiMixedTypes="0" containsString="0" containsNumber="1" containsInteger="1" minValue="0" maxValue="1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5" maxValue="5"/>
    </cacheField>
    <cacheField name="AverageOfAverage" numFmtId="0">
      <sharedItems containsSemiMixedTypes="0" containsString="0" containsNumber="1" minValue="0.61285553562621375" maxValue="1.31172933546377"/>
    </cacheField>
    <cacheField name="StDevOfAverage" numFmtId="0">
      <sharedItems containsSemiMixedTypes="0" containsString="0" containsNumber="1" minValue="0" maxValue="8.7622848041526383E-2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0.10879813583324249"/>
    </cacheField>
    <cacheField name="MinimumAverage" numFmtId="0">
      <sharedItems containsSemiMixedTypes="0" containsString="0" containsNumber="1" minValue="0.47457207128148898" maxValue="1.17197377359665"/>
    </cacheField>
    <cacheField name="MaximumAverage" numFmtId="0">
      <sharedItems containsSemiMixedTypes="0" containsString="0" containsNumber="1" minValue="0.68938938009318795" maxValue="1.3872595956732801"/>
    </cacheField>
    <cacheField name="SummaryHalfWidth" numFmtId="0">
      <sharedItems containsSemiMixedTypes="0" containsString="0" containsNumber="1" minValue="0" maxValue="0.1087981358332424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050.64211828704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">
  <r>
    <x v="0"/>
    <s v="2026-01-28 15:24:30"/>
    <n v="1"/>
    <x v="0"/>
    <x v="0"/>
    <x v="0"/>
    <n v="3.4255141991039499"/>
    <n v="2E+20"/>
    <n v="0"/>
    <n v="62.534481130526501"/>
    <n v="134"/>
    <s v="Unnamed ProjectDrilling center.QueueWaiting TimeQueue"/>
    <n v="5"/>
    <n v="2.9346189240650742"/>
    <n v="0.4754234776917165"/>
    <n v="0.95"/>
    <n v="0.59031621615063468"/>
    <n v="2.26286020743491"/>
    <n v="3.4255141991039499"/>
    <n v="0"/>
    <n v="62.5362094302236"/>
    <n v="151.19999999999999"/>
    <n v="0.59031621615063468"/>
    <n v="5"/>
    <n v="1"/>
  </r>
  <r>
    <x v="0"/>
    <s v="2026-01-28 15:24:30"/>
    <n v="2"/>
    <x v="0"/>
    <x v="0"/>
    <x v="0"/>
    <n v="3.3537861734263199"/>
    <n v="2E+20"/>
    <n v="0"/>
    <n v="36.5282671287193"/>
    <n v="148"/>
    <s v="Unnamed ProjectDrilling center.QueueWaiting TimeQueue"/>
    <n v="5"/>
    <n v="2.9346189240650742"/>
    <n v="0.4754234776917165"/>
    <n v="0.95"/>
    <n v="0.59031621615063468"/>
    <n v="2.26286020743491"/>
    <n v="3.4255141991039499"/>
    <n v="0"/>
    <n v="62.5362094302236"/>
    <n v="151.19999999999999"/>
    <n v="0.59031621615063468"/>
    <n v="5"/>
    <n v="1"/>
  </r>
  <r>
    <x v="0"/>
    <s v="2026-01-28 15:24:30"/>
    <n v="3"/>
    <x v="0"/>
    <x v="0"/>
    <x v="0"/>
    <n v="2.75311137568041"/>
    <n v="2E+20"/>
    <n v="0"/>
    <n v="39.4682262463771"/>
    <n v="163"/>
    <s v="Unnamed ProjectDrilling center.QueueWaiting TimeQueue"/>
    <n v="5"/>
    <n v="2.9346189240650742"/>
    <n v="0.4754234776917165"/>
    <n v="0.95"/>
    <n v="0.59031621615063468"/>
    <n v="2.26286020743491"/>
    <n v="3.4255141991039499"/>
    <n v="0"/>
    <n v="62.5362094302236"/>
    <n v="151.19999999999999"/>
    <n v="0.59031621615063468"/>
    <n v="5"/>
    <n v="1"/>
  </r>
  <r>
    <x v="0"/>
    <s v="2026-01-28 15:24:30"/>
    <n v="4"/>
    <x v="0"/>
    <x v="0"/>
    <x v="0"/>
    <n v="2.26286020743491"/>
    <n v="2E+20"/>
    <n v="0"/>
    <n v="26.168643753909699"/>
    <n v="151"/>
    <s v="Unnamed ProjectDrilling center.QueueWaiting TimeQueue"/>
    <n v="5"/>
    <n v="2.9346189240650742"/>
    <n v="0.4754234776917165"/>
    <n v="0.95"/>
    <n v="0.59031621615063468"/>
    <n v="2.26286020743491"/>
    <n v="3.4255141991039499"/>
    <n v="0"/>
    <n v="62.5362094302236"/>
    <n v="151.19999999999999"/>
    <n v="0.59031621615063468"/>
    <n v="5"/>
    <n v="1"/>
  </r>
  <r>
    <x v="0"/>
    <s v="2026-01-28 15:24:30"/>
    <n v="5"/>
    <x v="0"/>
    <x v="0"/>
    <x v="0"/>
    <n v="2.8778226646797802"/>
    <n v="2E+20"/>
    <n v="0"/>
    <n v="62.5362094302236"/>
    <n v="160"/>
    <s v="Unnamed ProjectDrilling center.QueueWaiting TimeQueue"/>
    <n v="5"/>
    <n v="2.9346189240650742"/>
    <n v="0.4754234776917165"/>
    <n v="0.95"/>
    <n v="0.59031621615063468"/>
    <n v="2.26286020743491"/>
    <n v="3.4255141991039499"/>
    <n v="0"/>
    <n v="62.5362094302236"/>
    <n v="151.19999999999999"/>
    <n v="0.59031621615063468"/>
    <n v="5"/>
    <n v="1"/>
  </r>
  <r>
    <x v="0"/>
    <s v="2026-01-28 15:24:30"/>
    <n v="1"/>
    <x v="1"/>
    <x v="1"/>
    <x v="1"/>
    <n v="0"/>
    <n v="2E+20"/>
    <n v="0"/>
    <n v="0"/>
    <n v="134"/>
    <s v="Unnamed ProjectPartNVA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5:24:30"/>
    <n v="1"/>
    <x v="1"/>
    <x v="2"/>
    <x v="1"/>
    <n v="0"/>
    <n v="2E+20"/>
    <n v="0"/>
    <n v="0"/>
    <n v="134"/>
    <s v="Unnamed ProjectPartOther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5:24:30"/>
    <n v="1"/>
    <x v="1"/>
    <x v="3"/>
    <x v="1"/>
    <n v="6.8869765950559803"/>
    <n v="2E+20"/>
    <n v="1.4049202988909999"/>
    <n v="67.726619898172203"/>
    <n v="134"/>
    <s v="Unnamed ProjectPartTotal TimeEntity"/>
    <n v="5"/>
    <n v="6.2805877424202201"/>
    <n v="0.53744127250174434"/>
    <n v="0.95"/>
    <n v="0.66732147921423446"/>
    <n v="5.6189252231018001"/>
    <n v="6.8869765950559803"/>
    <n v="1.20224816547654"/>
    <n v="67.726619898172203"/>
    <n v="150.80000000000001"/>
    <n v="0.66732147921423446"/>
    <n v="5"/>
    <n v="1"/>
  </r>
  <r>
    <x v="0"/>
    <s v="2026-01-28 15:24:30"/>
    <n v="1"/>
    <x v="1"/>
    <x v="4"/>
    <x v="1"/>
    <n v="0"/>
    <n v="2E+20"/>
    <n v="0"/>
    <n v="0"/>
    <n v="134"/>
    <s v="Unnamed ProjectPartTransfer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5:24:30"/>
    <n v="1"/>
    <x v="1"/>
    <x v="5"/>
    <x v="1"/>
    <n v="3.4614623959520299"/>
    <n v="2E+20"/>
    <n v="1.1759604867906399"/>
    <n v="5.7047388640940504"/>
    <n v="134"/>
    <s v="Unnamed ProjectPartVA TimeEntity"/>
    <n v="5"/>
    <n v="3.3394188832465082"/>
    <n v="0.10192456450146606"/>
    <n v="0.95"/>
    <n v="0.12655606227406777"/>
    <n v="3.1996238678891298"/>
    <n v="3.4614623959520299"/>
    <n v="1.1759604867906399"/>
    <n v="5.93193265422937"/>
    <n v="150.80000000000001"/>
    <n v="0.12655606227406777"/>
    <n v="5"/>
    <n v="1"/>
  </r>
  <r>
    <x v="0"/>
    <s v="2026-01-28 15:24:30"/>
    <n v="1"/>
    <x v="1"/>
    <x v="6"/>
    <x v="1"/>
    <n v="3.4255141991039499"/>
    <n v="2E+20"/>
    <n v="0"/>
    <n v="62.534481130526501"/>
    <n v="134"/>
    <s v="Unnamed ProjectPartWait TimeEntity"/>
    <n v="5"/>
    <n v="2.941168859173712"/>
    <n v="0.47704652691969407"/>
    <n v="0.95"/>
    <n v="0.59233149794432682"/>
    <n v="2.2727950110500301"/>
    <n v="3.4255141991039499"/>
    <n v="0"/>
    <n v="62.5362094302236"/>
    <n v="150.80000000000001"/>
    <n v="0.59233149794432682"/>
    <n v="5"/>
    <n v="1"/>
  </r>
  <r>
    <x v="0"/>
    <s v="2026-01-28 15:24:30"/>
    <n v="2"/>
    <x v="1"/>
    <x v="1"/>
    <x v="1"/>
    <n v="0"/>
    <n v="2E+20"/>
    <n v="0"/>
    <n v="0"/>
    <n v="147"/>
    <s v="Unnamed ProjectPartNVA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5:24:30"/>
    <n v="2"/>
    <x v="1"/>
    <x v="2"/>
    <x v="1"/>
    <n v="0"/>
    <n v="2E+20"/>
    <n v="0"/>
    <n v="0"/>
    <n v="147"/>
    <s v="Unnamed ProjectPartOther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5:24:30"/>
    <n v="2"/>
    <x v="1"/>
    <x v="3"/>
    <x v="1"/>
    <n v="6.7807481966707499"/>
    <n v="2E+20"/>
    <n v="1.5132872749330799"/>
    <n v="41.507191828126302"/>
    <n v="147"/>
    <s v="Unnamed ProjectPartTotal TimeEntity"/>
    <n v="5"/>
    <n v="6.2805877424202201"/>
    <n v="0.53744127250174434"/>
    <n v="0.95"/>
    <n v="0.66732147921423446"/>
    <n v="5.6189252231018001"/>
    <n v="6.8869765950559803"/>
    <n v="1.20224816547654"/>
    <n v="67.726619898172203"/>
    <n v="150.80000000000001"/>
    <n v="0.66732147921423446"/>
    <n v="5"/>
    <n v="1"/>
  </r>
  <r>
    <x v="0"/>
    <s v="2026-01-28 15:24:30"/>
    <n v="2"/>
    <x v="1"/>
    <x v="4"/>
    <x v="1"/>
    <n v="0"/>
    <n v="2E+20"/>
    <n v="0"/>
    <n v="0"/>
    <n v="147"/>
    <s v="Unnamed ProjectPartTransfer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5:24:30"/>
    <n v="2"/>
    <x v="1"/>
    <x v="5"/>
    <x v="1"/>
    <n v="3.4041471513163599"/>
    <n v="2E+20"/>
    <n v="1.3095160077258501"/>
    <n v="5.93193265422937"/>
    <n v="147"/>
    <s v="Unnamed ProjectPartVA TimeEntity"/>
    <n v="5"/>
    <n v="3.3394188832465082"/>
    <n v="0.10192456450146606"/>
    <n v="0.95"/>
    <n v="0.12655606227406777"/>
    <n v="3.1996238678891298"/>
    <n v="3.4614623959520299"/>
    <n v="1.1759604867906399"/>
    <n v="5.93193265422937"/>
    <n v="150.80000000000001"/>
    <n v="0.12655606227406777"/>
    <n v="5"/>
    <n v="1"/>
  </r>
  <r>
    <x v="0"/>
    <s v="2026-01-28 15:24:30"/>
    <n v="2"/>
    <x v="1"/>
    <x v="6"/>
    <x v="1"/>
    <n v="3.37660104535439"/>
    <n v="2E+20"/>
    <n v="0"/>
    <n v="36.5282671287193"/>
    <n v="147"/>
    <s v="Unnamed ProjectPartWait TimeEntity"/>
    <n v="5"/>
    <n v="2.941168859173712"/>
    <n v="0.47704652691969407"/>
    <n v="0.95"/>
    <n v="0.59233149794432682"/>
    <n v="2.2727950110500301"/>
    <n v="3.4255141991039499"/>
    <n v="0"/>
    <n v="62.5362094302236"/>
    <n v="150.80000000000001"/>
    <n v="0.59233149794432682"/>
    <n v="5"/>
    <n v="1"/>
  </r>
  <r>
    <x v="0"/>
    <s v="2026-01-28 15:24:30"/>
    <n v="3"/>
    <x v="1"/>
    <x v="1"/>
    <x v="1"/>
    <n v="0"/>
    <n v="2E+20"/>
    <n v="0"/>
    <n v="0"/>
    <n v="163"/>
    <s v="Unnamed ProjectPartNVA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5:24:30"/>
    <n v="3"/>
    <x v="1"/>
    <x v="2"/>
    <x v="1"/>
    <n v="0"/>
    <n v="2E+20"/>
    <n v="0"/>
    <n v="0"/>
    <n v="163"/>
    <s v="Unnamed ProjectPartOther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5:24:30"/>
    <n v="3"/>
    <x v="1"/>
    <x v="3"/>
    <x v="1"/>
    <n v="6.0388421647036497"/>
    <n v="2E+20"/>
    <n v="1.20224816547654"/>
    <n v="44.5979717118121"/>
    <n v="163"/>
    <s v="Unnamed ProjectPartTotal TimeEntity"/>
    <n v="5"/>
    <n v="6.2805877424202201"/>
    <n v="0.53744127250174434"/>
    <n v="0.95"/>
    <n v="0.66732147921423446"/>
    <n v="5.6189252231018001"/>
    <n v="6.8869765950559803"/>
    <n v="1.20224816547654"/>
    <n v="67.726619898172203"/>
    <n v="150.80000000000001"/>
    <n v="0.66732147921423446"/>
    <n v="5"/>
    <n v="1"/>
  </r>
  <r>
    <x v="0"/>
    <s v="2026-01-28 15:24:30"/>
    <n v="3"/>
    <x v="1"/>
    <x v="4"/>
    <x v="1"/>
    <n v="0"/>
    <n v="2E+20"/>
    <n v="0"/>
    <n v="0"/>
    <n v="163"/>
    <s v="Unnamed ProjectPartTransfer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5:24:30"/>
    <n v="3"/>
    <x v="1"/>
    <x v="5"/>
    <x v="1"/>
    <n v="3.2857307890232401"/>
    <n v="2E+20"/>
    <n v="1.20224816547654"/>
    <n v="5.87560159263501"/>
    <n v="163"/>
    <s v="Unnamed ProjectPartVA TimeEntity"/>
    <n v="5"/>
    <n v="3.3394188832465082"/>
    <n v="0.10192456450146606"/>
    <n v="0.95"/>
    <n v="0.12655606227406777"/>
    <n v="3.1996238678891298"/>
    <n v="3.4614623959520299"/>
    <n v="1.1759604867906399"/>
    <n v="5.93193265422937"/>
    <n v="150.80000000000001"/>
    <n v="0.12655606227406777"/>
    <n v="5"/>
    <n v="1"/>
  </r>
  <r>
    <x v="0"/>
    <s v="2026-01-28 15:24:30"/>
    <n v="3"/>
    <x v="1"/>
    <x v="6"/>
    <x v="1"/>
    <n v="2.75311137568041"/>
    <n v="2E+20"/>
    <n v="0"/>
    <n v="39.4682262463771"/>
    <n v="163"/>
    <s v="Unnamed ProjectPartWait TimeEntity"/>
    <n v="5"/>
    <n v="2.941168859173712"/>
    <n v="0.47704652691969407"/>
    <n v="0.95"/>
    <n v="0.59233149794432682"/>
    <n v="2.2727950110500301"/>
    <n v="3.4255141991039499"/>
    <n v="0"/>
    <n v="62.5362094302236"/>
    <n v="150.80000000000001"/>
    <n v="0.59233149794432682"/>
    <n v="5"/>
    <n v="1"/>
  </r>
  <r>
    <x v="0"/>
    <s v="2026-01-28 15:24:30"/>
    <n v="4"/>
    <x v="1"/>
    <x v="1"/>
    <x v="1"/>
    <n v="0"/>
    <n v="2E+20"/>
    <n v="0"/>
    <n v="0"/>
    <n v="150"/>
    <s v="Unnamed ProjectPartNVA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5:24:30"/>
    <n v="4"/>
    <x v="1"/>
    <x v="2"/>
    <x v="1"/>
    <n v="0"/>
    <n v="2E+20"/>
    <n v="0"/>
    <n v="0"/>
    <n v="150"/>
    <s v="Unnamed ProjectPartOther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5:24:30"/>
    <n v="4"/>
    <x v="1"/>
    <x v="3"/>
    <x v="1"/>
    <n v="5.6189252231018001"/>
    <n v="2E+20"/>
    <n v="1.2139916806486899"/>
    <n v="31.8568474655657"/>
    <n v="150"/>
    <s v="Unnamed ProjectPartTotal TimeEntity"/>
    <n v="5"/>
    <n v="6.2805877424202201"/>
    <n v="0.53744127250174434"/>
    <n v="0.95"/>
    <n v="0.66732147921423446"/>
    <n v="5.6189252231018001"/>
    <n v="6.8869765950559803"/>
    <n v="1.20224816547654"/>
    <n v="67.726619898172203"/>
    <n v="150.80000000000001"/>
    <n v="0.66732147921423446"/>
    <n v="5"/>
    <n v="1"/>
  </r>
  <r>
    <x v="0"/>
    <s v="2026-01-28 15:24:30"/>
    <n v="4"/>
    <x v="1"/>
    <x v="4"/>
    <x v="1"/>
    <n v="0"/>
    <n v="2E+20"/>
    <n v="0"/>
    <n v="0"/>
    <n v="150"/>
    <s v="Unnamed ProjectPartTransfer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5:24:30"/>
    <n v="4"/>
    <x v="1"/>
    <x v="5"/>
    <x v="1"/>
    <n v="3.3461302120517802"/>
    <n v="2E+20"/>
    <n v="1.2139916806486899"/>
    <n v="5.7165605109972599"/>
    <n v="150"/>
    <s v="Unnamed ProjectPartVA TimeEntity"/>
    <n v="5"/>
    <n v="3.3394188832465082"/>
    <n v="0.10192456450146606"/>
    <n v="0.95"/>
    <n v="0.12655606227406777"/>
    <n v="3.1996238678891298"/>
    <n v="3.4614623959520299"/>
    <n v="1.1759604867906399"/>
    <n v="5.93193265422937"/>
    <n v="150.80000000000001"/>
    <n v="0.12655606227406777"/>
    <n v="5"/>
    <n v="1"/>
  </r>
  <r>
    <x v="0"/>
    <s v="2026-01-28 15:24:30"/>
    <n v="4"/>
    <x v="1"/>
    <x v="6"/>
    <x v="1"/>
    <n v="2.2727950110500301"/>
    <n v="2E+20"/>
    <n v="0"/>
    <n v="26.168643753909699"/>
    <n v="150"/>
    <s v="Unnamed ProjectPartWait TimeEntity"/>
    <n v="5"/>
    <n v="2.941168859173712"/>
    <n v="0.47704652691969407"/>
    <n v="0.95"/>
    <n v="0.59233149794432682"/>
    <n v="2.2727950110500301"/>
    <n v="3.4255141991039499"/>
    <n v="0"/>
    <n v="62.5362094302236"/>
    <n v="150.80000000000001"/>
    <n v="0.59233149794432682"/>
    <n v="5"/>
    <n v="1"/>
  </r>
  <r>
    <x v="0"/>
    <s v="2026-01-28 15:24:30"/>
    <n v="5"/>
    <x v="1"/>
    <x v="1"/>
    <x v="1"/>
    <n v="0"/>
    <n v="2E+20"/>
    <n v="0"/>
    <n v="0"/>
    <n v="160"/>
    <s v="Unnamed ProjectPartNVA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5:24:30"/>
    <n v="5"/>
    <x v="1"/>
    <x v="2"/>
    <x v="1"/>
    <n v="0"/>
    <n v="2E+20"/>
    <n v="0"/>
    <n v="0"/>
    <n v="160"/>
    <s v="Unnamed ProjectPartOther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5:24:30"/>
    <n v="5"/>
    <x v="1"/>
    <x v="3"/>
    <x v="1"/>
    <n v="6.0774465325689198"/>
    <n v="2E+20"/>
    <n v="1.22324648767889"/>
    <n v="67.612493401856796"/>
    <n v="160"/>
    <s v="Unnamed ProjectPartTotal TimeEntity"/>
    <n v="5"/>
    <n v="6.2805877424202201"/>
    <n v="0.53744127250174434"/>
    <n v="0.95"/>
    <n v="0.66732147921423446"/>
    <n v="5.6189252231018001"/>
    <n v="6.8869765950559803"/>
    <n v="1.20224816547654"/>
    <n v="67.726619898172203"/>
    <n v="150.80000000000001"/>
    <n v="0.66732147921423446"/>
    <n v="5"/>
    <n v="1"/>
  </r>
  <r>
    <x v="0"/>
    <s v="2026-01-28 15:24:30"/>
    <n v="5"/>
    <x v="1"/>
    <x v="4"/>
    <x v="1"/>
    <n v="0"/>
    <n v="2E+20"/>
    <n v="0"/>
    <n v="0"/>
    <n v="160"/>
    <s v="Unnamed ProjectPartTransfer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5:24:30"/>
    <n v="5"/>
    <x v="1"/>
    <x v="5"/>
    <x v="1"/>
    <n v="3.1996238678891298"/>
    <n v="2E+20"/>
    <n v="1.22324648767889"/>
    <n v="5.7533987200526999"/>
    <n v="160"/>
    <s v="Unnamed ProjectPartVA TimeEntity"/>
    <n v="5"/>
    <n v="3.3394188832465082"/>
    <n v="0.10192456450146606"/>
    <n v="0.95"/>
    <n v="0.12655606227406777"/>
    <n v="3.1996238678891298"/>
    <n v="3.4614623959520299"/>
    <n v="1.1759604867906399"/>
    <n v="5.93193265422937"/>
    <n v="150.80000000000001"/>
    <n v="0.12655606227406777"/>
    <n v="5"/>
    <n v="1"/>
  </r>
  <r>
    <x v="0"/>
    <s v="2026-01-28 15:24:30"/>
    <n v="5"/>
    <x v="1"/>
    <x v="6"/>
    <x v="1"/>
    <n v="2.8778226646797802"/>
    <n v="2E+20"/>
    <n v="0"/>
    <n v="62.5362094302236"/>
    <n v="160"/>
    <s v="Unnamed ProjectPartWait TimeEntity"/>
    <n v="5"/>
    <n v="2.941168859173712"/>
    <n v="0.47704652691969407"/>
    <n v="0.95"/>
    <n v="0.59233149794432682"/>
    <n v="2.2727950110500301"/>
    <n v="3.4255141991039499"/>
    <n v="0"/>
    <n v="62.5362094302236"/>
    <n v="150.80000000000001"/>
    <n v="0.59233149794432682"/>
    <n v="5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x v="0"/>
    <s v="2026-01-28 15:24:30"/>
    <n v="1"/>
    <x v="0"/>
    <x v="0"/>
    <x v="0"/>
    <n v="134"/>
    <n v="0"/>
    <s v="Unnamed ProjectDrill press.NumberSeizedTotal Number SeizedResource"/>
    <n v="5"/>
    <n v="151.19999999999999"/>
    <n v="11.432410069622241"/>
    <n v="0.95"/>
    <n v="14.195211996152123"/>
    <n v="134"/>
    <n v="163"/>
  </r>
  <r>
    <x v="0"/>
    <s v="2026-01-28 15:24:30"/>
    <n v="1"/>
    <x v="1"/>
    <x v="1"/>
    <x v="0"/>
    <n v="0.64421661257995999"/>
    <n v="0"/>
    <s v="Unnamed ProjectDrill press.ScheduledUtilizationScheduled UtilizationResource"/>
    <n v="5"/>
    <n v="0.69887379983755582"/>
    <n v="3.5921507178221228E-2"/>
    <n v="0.95"/>
    <n v="4.4602442224415374E-2"/>
    <n v="0.64421661257995999"/>
    <n v="0.74385294251498302"/>
  </r>
  <r>
    <x v="0"/>
    <s v="2026-01-28 15:24:30"/>
    <n v="1"/>
    <x v="2"/>
    <x v="2"/>
    <x v="1"/>
    <n v="134"/>
    <n v="0"/>
    <s v="Unnamed ProjectPart.NumberInNumber InEntity"/>
    <n v="5"/>
    <n v="151.19999999999999"/>
    <n v="11.432410069622241"/>
    <n v="0.95"/>
    <n v="14.195211996152123"/>
    <n v="134"/>
    <n v="163"/>
  </r>
  <r>
    <x v="0"/>
    <s v="2026-01-28 15:24:30"/>
    <n v="1"/>
    <x v="3"/>
    <x v="3"/>
    <x v="1"/>
    <n v="134"/>
    <n v="0"/>
    <s v="Unnamed ProjectPart.NumberOutNumber OutEntity"/>
    <n v="5"/>
    <n v="150.80000000000001"/>
    <n v="11.519548602267365"/>
    <n v="0.95"/>
    <n v="14.303408774993876"/>
    <n v="134"/>
    <n v="163"/>
  </r>
  <r>
    <x v="0"/>
    <s v="2026-01-28 15:24:30"/>
    <n v="1"/>
    <x v="4"/>
    <x v="3"/>
    <x v="2"/>
    <n v="134"/>
    <n v="0"/>
    <s v="Unnamed ProjectSystem.NumberOutNumber OutSystem"/>
    <n v="5"/>
    <n v="150.80000000000001"/>
    <n v="11.519548602267365"/>
    <n v="0.95"/>
    <n v="14.303408774993876"/>
    <n v="134"/>
    <n v="163"/>
  </r>
  <r>
    <x v="0"/>
    <s v="2026-01-28 15:24:30"/>
    <n v="2"/>
    <x v="0"/>
    <x v="0"/>
    <x v="0"/>
    <n v="148"/>
    <n v="0"/>
    <s v="Unnamed ProjectDrill press.NumberSeizedTotal Number SeizedResource"/>
    <n v="5"/>
    <n v="151.19999999999999"/>
    <n v="11.432410069622241"/>
    <n v="0.95"/>
    <n v="14.195211996152123"/>
    <n v="134"/>
    <n v="163"/>
  </r>
  <r>
    <x v="0"/>
    <s v="2026-01-28 15:24:30"/>
    <n v="2"/>
    <x v="1"/>
    <x v="1"/>
    <x v="0"/>
    <n v="0.69787021558009399"/>
    <n v="0"/>
    <s v="Unnamed ProjectDrill press.ScheduledUtilizationScheduled UtilizationResource"/>
    <n v="5"/>
    <n v="0.69887379983755582"/>
    <n v="3.5921507178221228E-2"/>
    <n v="0.95"/>
    <n v="4.4602442224415374E-2"/>
    <n v="0.64421661257995999"/>
    <n v="0.74385294251498302"/>
  </r>
  <r>
    <x v="0"/>
    <s v="2026-01-28 15:24:30"/>
    <n v="2"/>
    <x v="2"/>
    <x v="2"/>
    <x v="1"/>
    <n v="148"/>
    <n v="0"/>
    <s v="Unnamed ProjectPart.NumberInNumber InEntity"/>
    <n v="5"/>
    <n v="151.19999999999999"/>
    <n v="11.432410069622241"/>
    <n v="0.95"/>
    <n v="14.195211996152123"/>
    <n v="134"/>
    <n v="163"/>
  </r>
  <r>
    <x v="0"/>
    <s v="2026-01-28 15:24:30"/>
    <n v="2"/>
    <x v="3"/>
    <x v="3"/>
    <x v="1"/>
    <n v="147"/>
    <n v="0"/>
    <s v="Unnamed ProjectPart.NumberOutNumber OutEntity"/>
    <n v="5"/>
    <n v="150.80000000000001"/>
    <n v="11.519548602267365"/>
    <n v="0.95"/>
    <n v="14.303408774993876"/>
    <n v="134"/>
    <n v="163"/>
  </r>
  <r>
    <x v="0"/>
    <s v="2026-01-28 15:24:30"/>
    <n v="2"/>
    <x v="4"/>
    <x v="3"/>
    <x v="2"/>
    <n v="147"/>
    <n v="0"/>
    <s v="Unnamed ProjectSystem.NumberOutNumber OutSystem"/>
    <n v="5"/>
    <n v="150.80000000000001"/>
    <n v="11.519548602267365"/>
    <n v="0.95"/>
    <n v="14.303408774993876"/>
    <n v="134"/>
    <n v="163"/>
  </r>
  <r>
    <x v="0"/>
    <s v="2026-01-28 15:24:30"/>
    <n v="3"/>
    <x v="0"/>
    <x v="0"/>
    <x v="0"/>
    <n v="163"/>
    <n v="0"/>
    <s v="Unnamed ProjectDrill press.NumberSeizedTotal Number SeizedResource"/>
    <n v="5"/>
    <n v="151.19999999999999"/>
    <n v="11.432410069622241"/>
    <n v="0.95"/>
    <n v="14.195211996152123"/>
    <n v="134"/>
    <n v="163"/>
  </r>
  <r>
    <x v="0"/>
    <s v="2026-01-28 15:24:30"/>
    <n v="3"/>
    <x v="1"/>
    <x v="1"/>
    <x v="0"/>
    <n v="0.74385294251498302"/>
    <n v="0"/>
    <s v="Unnamed ProjectDrill press.ScheduledUtilizationScheduled UtilizationResource"/>
    <n v="5"/>
    <n v="0.69887379983755582"/>
    <n v="3.5921507178221228E-2"/>
    <n v="0.95"/>
    <n v="4.4602442224415374E-2"/>
    <n v="0.64421661257995999"/>
    <n v="0.74385294251498302"/>
  </r>
  <r>
    <x v="0"/>
    <s v="2026-01-28 15:24:30"/>
    <n v="3"/>
    <x v="2"/>
    <x v="2"/>
    <x v="1"/>
    <n v="163"/>
    <n v="0"/>
    <s v="Unnamed ProjectPart.NumberInNumber InEntity"/>
    <n v="5"/>
    <n v="151.19999999999999"/>
    <n v="11.432410069622241"/>
    <n v="0.95"/>
    <n v="14.195211996152123"/>
    <n v="134"/>
    <n v="163"/>
  </r>
  <r>
    <x v="0"/>
    <s v="2026-01-28 15:24:30"/>
    <n v="3"/>
    <x v="3"/>
    <x v="3"/>
    <x v="1"/>
    <n v="163"/>
    <n v="0"/>
    <s v="Unnamed ProjectPart.NumberOutNumber OutEntity"/>
    <n v="5"/>
    <n v="150.80000000000001"/>
    <n v="11.519548602267365"/>
    <n v="0.95"/>
    <n v="14.303408774993876"/>
    <n v="134"/>
    <n v="163"/>
  </r>
  <r>
    <x v="0"/>
    <s v="2026-01-28 15:24:30"/>
    <n v="3"/>
    <x v="4"/>
    <x v="3"/>
    <x v="2"/>
    <n v="163"/>
    <n v="0"/>
    <s v="Unnamed ProjectSystem.NumberOutNumber OutSystem"/>
    <n v="5"/>
    <n v="150.80000000000001"/>
    <n v="11.519548602267365"/>
    <n v="0.95"/>
    <n v="14.303408774993876"/>
    <n v="134"/>
    <n v="163"/>
  </r>
  <r>
    <x v="0"/>
    <s v="2026-01-28 15:24:30"/>
    <n v="4"/>
    <x v="0"/>
    <x v="0"/>
    <x v="0"/>
    <n v="151"/>
    <n v="0"/>
    <s v="Unnamed ProjectDrill press.NumberSeizedTotal Number SeizedResource"/>
    <n v="5"/>
    <n v="151.19999999999999"/>
    <n v="11.432410069622241"/>
    <n v="0.95"/>
    <n v="14.195211996152123"/>
    <n v="134"/>
    <n v="163"/>
  </r>
  <r>
    <x v="0"/>
    <s v="2026-01-28 15:24:30"/>
    <n v="4"/>
    <x v="1"/>
    <x v="1"/>
    <x v="0"/>
    <n v="0.69740170231515697"/>
    <n v="0"/>
    <s v="Unnamed ProjectDrill press.ScheduledUtilizationScheduled UtilizationResource"/>
    <n v="5"/>
    <n v="0.69887379983755582"/>
    <n v="3.5921507178221228E-2"/>
    <n v="0.95"/>
    <n v="4.4602442224415374E-2"/>
    <n v="0.64421661257995999"/>
    <n v="0.74385294251498302"/>
  </r>
  <r>
    <x v="0"/>
    <s v="2026-01-28 15:24:30"/>
    <n v="4"/>
    <x v="2"/>
    <x v="2"/>
    <x v="1"/>
    <n v="151"/>
    <n v="0"/>
    <s v="Unnamed ProjectPart.NumberInNumber InEntity"/>
    <n v="5"/>
    <n v="151.19999999999999"/>
    <n v="11.432410069622241"/>
    <n v="0.95"/>
    <n v="14.195211996152123"/>
    <n v="134"/>
    <n v="163"/>
  </r>
  <r>
    <x v="0"/>
    <s v="2026-01-28 15:24:30"/>
    <n v="4"/>
    <x v="3"/>
    <x v="3"/>
    <x v="1"/>
    <n v="150"/>
    <n v="0"/>
    <s v="Unnamed ProjectPart.NumberOutNumber OutEntity"/>
    <n v="5"/>
    <n v="150.80000000000001"/>
    <n v="11.519548602267365"/>
    <n v="0.95"/>
    <n v="14.303408774993876"/>
    <n v="134"/>
    <n v="163"/>
  </r>
  <r>
    <x v="0"/>
    <s v="2026-01-28 15:24:30"/>
    <n v="4"/>
    <x v="4"/>
    <x v="3"/>
    <x v="2"/>
    <n v="150"/>
    <n v="0"/>
    <s v="Unnamed ProjectSystem.NumberOutNumber OutSystem"/>
    <n v="5"/>
    <n v="150.80000000000001"/>
    <n v="11.519548602267365"/>
    <n v="0.95"/>
    <n v="14.303408774993876"/>
    <n v="134"/>
    <n v="163"/>
  </r>
  <r>
    <x v="0"/>
    <s v="2026-01-28 15:24:30"/>
    <n v="5"/>
    <x v="0"/>
    <x v="0"/>
    <x v="0"/>
    <n v="160"/>
    <n v="0"/>
    <s v="Unnamed ProjectDrill press.NumberSeizedTotal Number SeizedResource"/>
    <n v="5"/>
    <n v="151.19999999999999"/>
    <n v="11.432410069622241"/>
    <n v="0.95"/>
    <n v="14.195211996152123"/>
    <n v="134"/>
    <n v="163"/>
  </r>
  <r>
    <x v="0"/>
    <s v="2026-01-28 15:24:30"/>
    <n v="5"/>
    <x v="1"/>
    <x v="1"/>
    <x v="0"/>
    <n v="0.71102752619758502"/>
    <n v="0"/>
    <s v="Unnamed ProjectDrill press.ScheduledUtilizationScheduled UtilizationResource"/>
    <n v="5"/>
    <n v="0.69887379983755582"/>
    <n v="3.5921507178221228E-2"/>
    <n v="0.95"/>
    <n v="4.4602442224415374E-2"/>
    <n v="0.64421661257995999"/>
    <n v="0.74385294251498302"/>
  </r>
  <r>
    <x v="0"/>
    <s v="2026-01-28 15:24:30"/>
    <n v="5"/>
    <x v="2"/>
    <x v="2"/>
    <x v="1"/>
    <n v="160"/>
    <n v="0"/>
    <s v="Unnamed ProjectPart.NumberInNumber InEntity"/>
    <n v="5"/>
    <n v="151.19999999999999"/>
    <n v="11.432410069622241"/>
    <n v="0.95"/>
    <n v="14.195211996152123"/>
    <n v="134"/>
    <n v="163"/>
  </r>
  <r>
    <x v="0"/>
    <s v="2026-01-28 15:24:30"/>
    <n v="5"/>
    <x v="3"/>
    <x v="3"/>
    <x v="1"/>
    <n v="160"/>
    <n v="0"/>
    <s v="Unnamed ProjectPart.NumberOutNumber OutEntity"/>
    <n v="5"/>
    <n v="150.80000000000001"/>
    <n v="11.519548602267365"/>
    <n v="0.95"/>
    <n v="14.303408774993876"/>
    <n v="134"/>
    <n v="163"/>
  </r>
  <r>
    <x v="0"/>
    <s v="2026-01-28 15:24:30"/>
    <n v="5"/>
    <x v="4"/>
    <x v="3"/>
    <x v="2"/>
    <n v="160"/>
    <n v="0"/>
    <s v="Unnamed ProjectSystem.NumberOutNumber OutSystem"/>
    <n v="5"/>
    <n v="150.80000000000001"/>
    <n v="11.519548602267365"/>
    <n v="0.95"/>
    <n v="14.303408774993876"/>
    <n v="134"/>
    <n v="163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x v="0"/>
    <s v="2026-01-28 15:24:30"/>
    <n v="1"/>
    <x v="0"/>
    <x v="0"/>
    <x v="0"/>
    <n v="0.64421661257995999"/>
    <n v="2E+20"/>
    <n v="0"/>
    <n v="1"/>
    <n v="0"/>
    <n v="0"/>
    <s v="Unnamed ProjectDrill pressInstantaneous UtilizationResource"/>
    <n v="5"/>
    <n v="0.69887379983755582"/>
    <n v="3.5921507178221228E-2"/>
    <n v="0.95"/>
    <n v="4.4602442224415374E-2"/>
    <n v="0.64421661257995999"/>
    <n v="0.74385294251498302"/>
    <n v="4.4602442224415374E-2"/>
  </r>
  <r>
    <x v="0"/>
    <s v="2026-01-28 15:24:30"/>
    <n v="1"/>
    <x v="0"/>
    <x v="1"/>
    <x v="0"/>
    <n v="0.64421661257995999"/>
    <n v="2E+20"/>
    <n v="0"/>
    <n v="1"/>
    <n v="0"/>
    <n v="0"/>
    <s v="Unnamed ProjectDrill pressNumber BusyResource"/>
    <n v="5"/>
    <n v="0.69887379983755582"/>
    <n v="3.5921507178221228E-2"/>
    <n v="0.95"/>
    <n v="4.4602442224415374E-2"/>
    <n v="0.64421661257995999"/>
    <n v="0.74385294251498302"/>
    <n v="4.4602442224415374E-2"/>
  </r>
  <r>
    <x v="0"/>
    <s v="2026-01-28 15:24:30"/>
    <n v="1"/>
    <x v="0"/>
    <x v="2"/>
    <x v="0"/>
    <n v="1"/>
    <n v="2E+20"/>
    <n v="1"/>
    <n v="1"/>
    <n v="1"/>
    <n v="0"/>
    <s v="Unnamed ProjectDrill pressNumber ScheduledResource"/>
    <n v="5"/>
    <n v="1"/>
    <n v="0"/>
    <n v="0.95"/>
    <n v="0"/>
    <n v="1"/>
    <n v="1"/>
    <n v="0"/>
  </r>
  <r>
    <x v="0"/>
    <s v="2026-01-28 15:24:30"/>
    <n v="1"/>
    <x v="1"/>
    <x v="3"/>
    <x v="1"/>
    <n v="0.63752625372212401"/>
    <n v="2E+20"/>
    <n v="0"/>
    <n v="5"/>
    <n v="0"/>
    <n v="0"/>
    <s v="Unnamed ProjectDrilling center.QueueNumber WaitingQueue"/>
    <n v="5"/>
    <n v="0.61285553562621375"/>
    <n v="8.1252260258171893E-2"/>
    <n v="0.95"/>
    <n v="0.10088800633525449"/>
    <n v="0.47457207128148898"/>
    <n v="0.68938938009318795"/>
    <n v="0.10088800633525449"/>
  </r>
  <r>
    <x v="0"/>
    <s v="2026-01-28 15:24:30"/>
    <n v="1"/>
    <x v="2"/>
    <x v="4"/>
    <x v="2"/>
    <n v="1.28174286630209"/>
    <n v="2E+20"/>
    <n v="0"/>
    <n v="6"/>
    <n v="0"/>
    <n v="0"/>
    <s v="Unnamed ProjectPartWIPEntity"/>
    <n v="5"/>
    <n v="1.31172933546377"/>
    <n v="8.7622848041526383E-2"/>
    <n v="0.95"/>
    <n v="0.10879813583324249"/>
    <n v="1.17197377359665"/>
    <n v="1.3872595956732801"/>
    <n v="0.10879813583324249"/>
  </r>
  <r>
    <x v="0"/>
    <s v="2026-01-28 15:24:30"/>
    <n v="2"/>
    <x v="0"/>
    <x v="0"/>
    <x v="0"/>
    <n v="0.69787021558009399"/>
    <n v="2E+20"/>
    <n v="0"/>
    <n v="1"/>
    <n v="1"/>
    <n v="0"/>
    <s v="Unnamed ProjectDrill pressInstantaneous UtilizationResource"/>
    <n v="5"/>
    <n v="0.69887379983755582"/>
    <n v="3.5921507178221228E-2"/>
    <n v="0.95"/>
    <n v="4.4602442224415374E-2"/>
    <n v="0.64421661257995999"/>
    <n v="0.74385294251498302"/>
    <n v="4.4602442224415374E-2"/>
  </r>
  <r>
    <x v="0"/>
    <s v="2026-01-28 15:24:30"/>
    <n v="2"/>
    <x v="0"/>
    <x v="1"/>
    <x v="0"/>
    <n v="0.69787021558009399"/>
    <n v="2E+20"/>
    <n v="0"/>
    <n v="1"/>
    <n v="1"/>
    <n v="0"/>
    <s v="Unnamed ProjectDrill pressNumber BusyResource"/>
    <n v="5"/>
    <n v="0.69887379983755582"/>
    <n v="3.5921507178221228E-2"/>
    <n v="0.95"/>
    <n v="4.4602442224415374E-2"/>
    <n v="0.64421661257995999"/>
    <n v="0.74385294251498302"/>
    <n v="4.4602442224415374E-2"/>
  </r>
  <r>
    <x v="0"/>
    <s v="2026-01-28 15:24:30"/>
    <n v="2"/>
    <x v="0"/>
    <x v="2"/>
    <x v="0"/>
    <n v="1"/>
    <n v="2E+20"/>
    <n v="1"/>
    <n v="1"/>
    <n v="1"/>
    <n v="0"/>
    <s v="Unnamed ProjectDrill pressNumber ScheduledResource"/>
    <n v="5"/>
    <n v="1"/>
    <n v="0"/>
    <n v="0.95"/>
    <n v="0"/>
    <n v="1"/>
    <n v="1"/>
    <n v="0"/>
  </r>
  <r>
    <x v="0"/>
    <s v="2026-01-28 15:24:30"/>
    <n v="2"/>
    <x v="1"/>
    <x v="3"/>
    <x v="1"/>
    <n v="0.68938938009318795"/>
    <n v="2E+20"/>
    <n v="0"/>
    <n v="4"/>
    <n v="0"/>
    <n v="0"/>
    <s v="Unnamed ProjectDrilling center.QueueNumber WaitingQueue"/>
    <n v="5"/>
    <n v="0.61285553562621375"/>
    <n v="8.1252260258171893E-2"/>
    <n v="0.95"/>
    <n v="0.10088800633525449"/>
    <n v="0.47457207128148898"/>
    <n v="0.68938938009318795"/>
    <n v="0.10088800633525449"/>
  </r>
  <r>
    <x v="0"/>
    <s v="2026-01-28 15:24:30"/>
    <n v="2"/>
    <x v="2"/>
    <x v="4"/>
    <x v="2"/>
    <n v="1.3872595956732801"/>
    <n v="2E+20"/>
    <n v="0"/>
    <n v="5"/>
    <n v="1"/>
    <n v="0"/>
    <s v="Unnamed ProjectPartWIPEntity"/>
    <n v="5"/>
    <n v="1.31172933546377"/>
    <n v="8.7622848041526383E-2"/>
    <n v="0.95"/>
    <n v="0.10879813583324249"/>
    <n v="1.17197377359665"/>
    <n v="1.3872595956732801"/>
    <n v="0.10879813583324249"/>
  </r>
  <r>
    <x v="0"/>
    <s v="2026-01-28 15:24:30"/>
    <n v="3"/>
    <x v="0"/>
    <x v="0"/>
    <x v="0"/>
    <n v="0.74385294251498302"/>
    <n v="2E+20"/>
    <n v="0"/>
    <n v="1"/>
    <n v="0"/>
    <n v="0"/>
    <s v="Unnamed ProjectDrill pressInstantaneous UtilizationResource"/>
    <n v="5"/>
    <n v="0.69887379983755582"/>
    <n v="3.5921507178221228E-2"/>
    <n v="0.95"/>
    <n v="4.4602442224415374E-2"/>
    <n v="0.64421661257995999"/>
    <n v="0.74385294251498302"/>
    <n v="4.4602442224415374E-2"/>
  </r>
  <r>
    <x v="0"/>
    <s v="2026-01-28 15:24:30"/>
    <n v="3"/>
    <x v="0"/>
    <x v="1"/>
    <x v="0"/>
    <n v="0.74385294251498302"/>
    <n v="2E+20"/>
    <n v="0"/>
    <n v="1"/>
    <n v="0"/>
    <n v="0"/>
    <s v="Unnamed ProjectDrill pressNumber BusyResource"/>
    <n v="5"/>
    <n v="0.69887379983755582"/>
    <n v="3.5921507178221228E-2"/>
    <n v="0.95"/>
    <n v="4.4602442224415374E-2"/>
    <n v="0.64421661257995999"/>
    <n v="0.74385294251498302"/>
    <n v="4.4602442224415374E-2"/>
  </r>
  <r>
    <x v="0"/>
    <s v="2026-01-28 15:24:30"/>
    <n v="3"/>
    <x v="0"/>
    <x v="2"/>
    <x v="0"/>
    <n v="1"/>
    <n v="2E+20"/>
    <n v="1"/>
    <n v="1"/>
    <n v="1"/>
    <n v="0"/>
    <s v="Unnamed ProjectDrill pressNumber ScheduledResource"/>
    <n v="5"/>
    <n v="1"/>
    <n v="0"/>
    <n v="0.95"/>
    <n v="0"/>
    <n v="1"/>
    <n v="1"/>
    <n v="0"/>
  </r>
  <r>
    <x v="0"/>
    <s v="2026-01-28 15:24:30"/>
    <n v="3"/>
    <x v="1"/>
    <x v="3"/>
    <x v="1"/>
    <n v="0.62327382532764997"/>
    <n v="2E+20"/>
    <n v="0"/>
    <n v="6"/>
    <n v="0"/>
    <n v="0"/>
    <s v="Unnamed ProjectDrilling center.QueueNumber WaitingQueue"/>
    <n v="5"/>
    <n v="0.61285553562621375"/>
    <n v="8.1252260258171893E-2"/>
    <n v="0.95"/>
    <n v="0.10088800633525449"/>
    <n v="0.47457207128148898"/>
    <n v="0.68938938009318795"/>
    <n v="0.10088800633525449"/>
  </r>
  <r>
    <x v="0"/>
    <s v="2026-01-28 15:24:30"/>
    <n v="3"/>
    <x v="2"/>
    <x v="4"/>
    <x v="2"/>
    <n v="1.36712676784263"/>
    <n v="0.38845211228335702"/>
    <n v="0"/>
    <n v="7"/>
    <n v="0"/>
    <n v="0"/>
    <s v="Unnamed ProjectPartWIPEntity"/>
    <n v="5"/>
    <n v="1.31172933546377"/>
    <n v="8.7622848041526383E-2"/>
    <n v="0.95"/>
    <n v="0.10879813583324249"/>
    <n v="1.17197377359665"/>
    <n v="1.3872595956732801"/>
    <n v="0.10879813583324249"/>
  </r>
  <r>
    <x v="0"/>
    <s v="2026-01-28 15:24:30"/>
    <n v="4"/>
    <x v="0"/>
    <x v="0"/>
    <x v="0"/>
    <n v="0.69740170231515697"/>
    <n v="2E+20"/>
    <n v="0"/>
    <n v="1"/>
    <n v="1"/>
    <n v="0"/>
    <s v="Unnamed ProjectDrill pressInstantaneous UtilizationResource"/>
    <n v="5"/>
    <n v="0.69887379983755582"/>
    <n v="3.5921507178221228E-2"/>
    <n v="0.95"/>
    <n v="4.4602442224415374E-2"/>
    <n v="0.64421661257995999"/>
    <n v="0.74385294251498302"/>
    <n v="4.4602442224415374E-2"/>
  </r>
  <r>
    <x v="0"/>
    <s v="2026-01-28 15:24:30"/>
    <n v="4"/>
    <x v="0"/>
    <x v="1"/>
    <x v="0"/>
    <n v="0.69740170231515697"/>
    <n v="2E+20"/>
    <n v="0"/>
    <n v="1"/>
    <n v="1"/>
    <n v="0"/>
    <s v="Unnamed ProjectDrill pressNumber BusyResource"/>
    <n v="5"/>
    <n v="0.69887379983755582"/>
    <n v="3.5921507178221228E-2"/>
    <n v="0.95"/>
    <n v="4.4602442224415374E-2"/>
    <n v="0.64421661257995999"/>
    <n v="0.74385294251498302"/>
    <n v="4.4602442224415374E-2"/>
  </r>
  <r>
    <x v="0"/>
    <s v="2026-01-28 15:24:30"/>
    <n v="4"/>
    <x v="0"/>
    <x v="2"/>
    <x v="0"/>
    <n v="1"/>
    <n v="2E+20"/>
    <n v="1"/>
    <n v="1"/>
    <n v="1"/>
    <n v="0"/>
    <s v="Unnamed ProjectDrill pressNumber ScheduledResource"/>
    <n v="5"/>
    <n v="1"/>
    <n v="0"/>
    <n v="0.95"/>
    <n v="0"/>
    <n v="1"/>
    <n v="1"/>
    <n v="0"/>
  </r>
  <r>
    <x v="0"/>
    <s v="2026-01-28 15:24:30"/>
    <n v="4"/>
    <x v="1"/>
    <x v="3"/>
    <x v="1"/>
    <n v="0.47457207128148898"/>
    <n v="2E+20"/>
    <n v="0"/>
    <n v="4"/>
    <n v="0"/>
    <n v="0"/>
    <s v="Unnamed ProjectDrilling center.QueueNumber WaitingQueue"/>
    <n v="5"/>
    <n v="0.61285553562621375"/>
    <n v="8.1252260258171893E-2"/>
    <n v="0.95"/>
    <n v="0.10088800633525449"/>
    <n v="0.47457207128148898"/>
    <n v="0.68938938009318795"/>
    <n v="0.10088800633525449"/>
  </r>
  <r>
    <x v="0"/>
    <s v="2026-01-28 15:24:30"/>
    <n v="4"/>
    <x v="2"/>
    <x v="4"/>
    <x v="2"/>
    <n v="1.17197377359665"/>
    <n v="2E+20"/>
    <n v="0"/>
    <n v="5"/>
    <n v="1"/>
    <n v="0"/>
    <s v="Unnamed ProjectPartWIPEntity"/>
    <n v="5"/>
    <n v="1.31172933546377"/>
    <n v="8.7622848041526383E-2"/>
    <n v="0.95"/>
    <n v="0.10879813583324249"/>
    <n v="1.17197377359665"/>
    <n v="1.3872595956732801"/>
    <n v="0.10879813583324249"/>
  </r>
  <r>
    <x v="0"/>
    <s v="2026-01-28 15:24:30"/>
    <n v="5"/>
    <x v="0"/>
    <x v="0"/>
    <x v="0"/>
    <n v="0.71102752619758502"/>
    <n v="2E+20"/>
    <n v="0"/>
    <n v="1"/>
    <n v="0"/>
    <n v="0"/>
    <s v="Unnamed ProjectDrill pressInstantaneous UtilizationResource"/>
    <n v="5"/>
    <n v="0.69887379983755582"/>
    <n v="3.5921507178221228E-2"/>
    <n v="0.95"/>
    <n v="4.4602442224415374E-2"/>
    <n v="0.64421661257995999"/>
    <n v="0.74385294251498302"/>
    <n v="4.4602442224415374E-2"/>
  </r>
  <r>
    <x v="0"/>
    <s v="2026-01-28 15:24:30"/>
    <n v="5"/>
    <x v="0"/>
    <x v="1"/>
    <x v="0"/>
    <n v="0.71102752619758502"/>
    <n v="2E+20"/>
    <n v="0"/>
    <n v="1"/>
    <n v="0"/>
    <n v="0"/>
    <s v="Unnamed ProjectDrill pressNumber BusyResource"/>
    <n v="5"/>
    <n v="0.69887379983755582"/>
    <n v="3.5921507178221228E-2"/>
    <n v="0.95"/>
    <n v="4.4602442224415374E-2"/>
    <n v="0.64421661257995999"/>
    <n v="0.74385294251498302"/>
    <n v="4.4602442224415374E-2"/>
  </r>
  <r>
    <x v="0"/>
    <s v="2026-01-28 15:24:30"/>
    <n v="5"/>
    <x v="0"/>
    <x v="2"/>
    <x v="0"/>
    <n v="1"/>
    <n v="2E+20"/>
    <n v="1"/>
    <n v="1"/>
    <n v="1"/>
    <n v="0"/>
    <s v="Unnamed ProjectDrill pressNumber ScheduledResource"/>
    <n v="5"/>
    <n v="1"/>
    <n v="0"/>
    <n v="0.95"/>
    <n v="0"/>
    <n v="1"/>
    <n v="1"/>
    <n v="0"/>
  </r>
  <r>
    <x v="0"/>
    <s v="2026-01-28 15:24:30"/>
    <n v="5"/>
    <x v="1"/>
    <x v="3"/>
    <x v="1"/>
    <n v="0.63951614770661802"/>
    <n v="2E+20"/>
    <n v="0"/>
    <n v="6"/>
    <n v="0"/>
    <n v="0"/>
    <s v="Unnamed ProjectDrilling center.QueueNumber WaitingQueue"/>
    <n v="5"/>
    <n v="0.61285553562621375"/>
    <n v="8.1252260258171893E-2"/>
    <n v="0.95"/>
    <n v="0.10088800633525449"/>
    <n v="0.47457207128148898"/>
    <n v="0.68938938009318795"/>
    <n v="0.10088800633525449"/>
  </r>
  <r>
    <x v="0"/>
    <s v="2026-01-28 15:24:30"/>
    <n v="5"/>
    <x v="2"/>
    <x v="4"/>
    <x v="2"/>
    <n v="1.3505436739042"/>
    <n v="0.41868836242625002"/>
    <n v="0"/>
    <n v="7"/>
    <n v="0"/>
    <n v="0"/>
    <s v="Unnamed ProjectPartWIPEntity"/>
    <n v="5"/>
    <n v="1.31172933546377"/>
    <n v="8.7622848041526383E-2"/>
    <n v="0.95"/>
    <n v="0.10879813583324249"/>
    <n v="1.17197377359665"/>
    <n v="1.3872595956732801"/>
    <n v="0.10879813583324249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81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9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1">
        <item m="1" x="12"/>
        <item m="1" x="35"/>
        <item m="1" x="7"/>
        <item m="1" x="87"/>
        <item m="1" x="70"/>
        <item m="1" x="40"/>
        <item m="1" x="96"/>
        <item m="1" x="28"/>
        <item m="1" x="32"/>
        <item m="1" x="99"/>
        <item m="1" x="65"/>
        <item m="1" x="77"/>
        <item m="1" x="82"/>
        <item m="1" x="6"/>
        <item m="1" x="34"/>
        <item m="1" x="24"/>
        <item m="1" x="100"/>
        <item m="1" x="94"/>
        <item m="1" x="22"/>
        <item m="1" x="16"/>
        <item m="1" x="88"/>
        <item m="1" x="8"/>
        <item m="1" x="41"/>
        <item m="1" x="27"/>
        <item m="1" x="52"/>
        <item m="1" x="79"/>
        <item m="1" x="43"/>
        <item m="1" x="13"/>
        <item m="1" x="37"/>
        <item m="1" x="66"/>
        <item m="1" x="56"/>
        <item m="1" x="14"/>
        <item m="1" x="73"/>
        <item m="1" x="5"/>
        <item m="1" x="93"/>
        <item m="1" x="61"/>
        <item m="1" x="81"/>
        <item m="1" x="36"/>
        <item m="1" x="95"/>
        <item m="1" x="64"/>
        <item m="1" x="18"/>
        <item m="1" x="55"/>
        <item m="1" x="69"/>
        <item m="1" x="80"/>
        <item m="1" x="86"/>
        <item m="1" x="4"/>
        <item m="1" x="17"/>
        <item m="1" x="26"/>
        <item m="1" x="19"/>
        <item m="1" x="3"/>
        <item m="1" x="78"/>
        <item m="1" x="90"/>
        <item m="1" x="30"/>
        <item m="1" x="60"/>
        <item m="1" x="21"/>
        <item m="1" x="38"/>
        <item m="1" x="25"/>
        <item m="1" x="46"/>
        <item m="1" x="33"/>
        <item m="1" x="53"/>
        <item m="1" x="39"/>
        <item m="1" x="62"/>
        <item m="1" x="47"/>
        <item m="1" x="67"/>
        <item m="1" x="54"/>
        <item m="1" x="75"/>
        <item m="1" x="68"/>
        <item m="1" x="83"/>
        <item m="1" x="91"/>
        <item m="1" x="71"/>
        <item m="1" x="50"/>
        <item m="1" x="31"/>
        <item m="1" x="44"/>
        <item m="1" x="15"/>
        <item m="1" x="20"/>
        <item m="1" x="29"/>
        <item m="1" x="57"/>
        <item m="1" x="92"/>
        <item m="1" x="85"/>
        <item m="1" x="72"/>
        <item m="1" x="45"/>
        <item m="1" x="58"/>
        <item m="1" x="49"/>
        <item m="1" x="74"/>
        <item m="1" x="59"/>
        <item m="1" x="42"/>
        <item m="1" x="48"/>
        <item m="1" x="11"/>
        <item m="1" x="51"/>
        <item m="1" x="63"/>
        <item m="1" x="76"/>
        <item m="1" x="84"/>
        <item m="1" x="89"/>
        <item m="1" x="98"/>
        <item m="1" x="9"/>
        <item m="1" x="23"/>
        <item m="1" x="97"/>
        <item m="1" x="10"/>
        <item m="1" x="2"/>
        <item x="0"/>
        <item x="1"/>
      </items>
    </pivotField>
    <pivotField axis="axisRow" compact="0" outline="0" showAll="0" defaultSubtotal="0">
      <items count="12">
        <item m="1" x="11"/>
        <item x="1"/>
        <item x="2"/>
        <item x="3"/>
        <item x="4"/>
        <item x="5"/>
        <item x="6"/>
        <item x="0"/>
        <item m="1" x="8"/>
        <item m="1" x="9"/>
        <item m="1" x="10"/>
        <item m="1" x="7"/>
      </items>
    </pivotField>
    <pivotField axis="axisRow" compact="0" outline="0" showAll="0" defaultSubtotal="0">
      <items count="5">
        <item x="1"/>
        <item x="0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7">
    <i>
      <x v="3"/>
      <x v="99"/>
      <x v="7"/>
      <x v="1"/>
    </i>
    <i r="1">
      <x v="100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88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7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3">
        <item m="1" x="30"/>
        <item m="1" x="6"/>
        <item m="1" x="31"/>
        <item m="1" x="7"/>
        <item m="1" x="32"/>
        <item m="1" x="8"/>
        <item m="1" x="33"/>
        <item m="1" x="9"/>
        <item m="1" x="65"/>
        <item m="1" x="20"/>
        <item x="4"/>
        <item m="1" x="64"/>
        <item m="1" x="51"/>
        <item m="1" x="68"/>
        <item m="1" x="53"/>
        <item m="1" x="69"/>
        <item m="1" x="76"/>
        <item m="1" x="45"/>
        <item m="1" x="13"/>
        <item m="1" x="62"/>
        <item m="1" x="52"/>
        <item m="1" x="50"/>
        <item m="1" x="16"/>
        <item m="1" x="60"/>
        <item m="1" x="25"/>
        <item m="1" x="61"/>
        <item m="1" x="26"/>
        <item m="1" x="59"/>
        <item m="1" x="79"/>
        <item m="1" x="19"/>
        <item m="1" x="82"/>
        <item m="1" x="47"/>
        <item m="1" x="14"/>
        <item m="1" x="77"/>
        <item m="1" x="72"/>
        <item m="1" x="48"/>
        <item m="1" x="15"/>
        <item m="1" x="78"/>
        <item m="1" x="73"/>
        <item m="1" x="10"/>
        <item m="1" x="44"/>
        <item m="1" x="28"/>
        <item m="1" x="18"/>
        <item m="1" x="70"/>
        <item m="1" x="40"/>
        <item m="1" x="71"/>
        <item m="1" x="41"/>
        <item m="1" x="27"/>
        <item m="1" x="22"/>
        <item m="1" x="49"/>
        <item m="1" x="24"/>
        <item m="1" x="81"/>
        <item m="1" x="74"/>
        <item m="1" x="23"/>
        <item m="1" x="21"/>
        <item m="1" x="66"/>
        <item m="1" x="75"/>
        <item m="1" x="11"/>
        <item m="1" x="29"/>
        <item m="1" x="42"/>
        <item m="1" x="63"/>
        <item m="1" x="80"/>
        <item m="1" x="12"/>
        <item m="1" x="39"/>
        <item m="1" x="43"/>
        <item m="1" x="67"/>
        <item m="1" x="46"/>
        <item m="1" x="17"/>
        <item m="1" x="34"/>
        <item m="1" x="54"/>
        <item m="1" x="35"/>
        <item m="1" x="55"/>
        <item m="1" x="36"/>
        <item m="1" x="56"/>
        <item m="1" x="37"/>
        <item m="1" x="57"/>
        <item m="1" x="38"/>
        <item m="1" x="58"/>
        <item m="1" x="5"/>
        <item x="0"/>
        <item x="1"/>
        <item x="2"/>
        <item x="3"/>
      </items>
    </pivotField>
    <pivotField axis="axisRow" compact="0" outline="0" showAll="0" defaultSubtotal="0">
      <items count="7">
        <item x="2"/>
        <item x="3"/>
        <item x="1"/>
        <item x="0"/>
        <item m="1" x="5"/>
        <item m="1" x="6"/>
        <item m="1" x="4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0"/>
      <x v="1"/>
      <x v="2"/>
    </i>
    <i r="1">
      <x v="79"/>
      <x v="3"/>
      <x v="1"/>
    </i>
    <i r="1">
      <x v="80"/>
      <x v="2"/>
      <x v="1"/>
    </i>
    <i r="1">
      <x v="81"/>
      <x/>
      <x/>
    </i>
    <i r="1">
      <x v="82"/>
      <x v="1"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95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102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7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7">
        <item m="1" x="18"/>
        <item m="1" x="9"/>
        <item m="1" x="25"/>
        <item m="1" x="34"/>
        <item m="1" x="47"/>
        <item m="1" x="46"/>
        <item m="1" x="10"/>
        <item m="1" x="111"/>
        <item m="1" x="89"/>
        <item m="1" x="52"/>
        <item m="1" x="39"/>
        <item m="1" x="43"/>
        <item m="1" x="125"/>
        <item m="1" x="28"/>
        <item m="1" x="110"/>
        <item m="1" x="32"/>
        <item m="1" x="83"/>
        <item m="1" x="97"/>
        <item m="1" x="7"/>
        <item m="1" x="33"/>
        <item m="1" x="120"/>
        <item m="1" x="22"/>
        <item m="1" x="112"/>
        <item m="1" x="11"/>
        <item m="1" x="38"/>
        <item m="1" x="64"/>
        <item m="1" x="8"/>
        <item m="1" x="14"/>
        <item m="1" x="84"/>
        <item m="1" x="65"/>
        <item m="1" x="99"/>
        <item m="1" x="55"/>
        <item m="1" x="19"/>
        <item m="1" x="49"/>
        <item m="1" x="85"/>
        <item m="1" x="70"/>
        <item m="1" x="20"/>
        <item m="1" x="30"/>
        <item m="1" x="92"/>
        <item m="1" x="6"/>
        <item m="1" x="119"/>
        <item m="1" x="77"/>
        <item m="1" x="17"/>
        <item m="1" x="102"/>
        <item m="1" x="48"/>
        <item m="1" x="121"/>
        <item m="1" x="82"/>
        <item m="1" x="24"/>
        <item m="1" x="69"/>
        <item m="1" x="88"/>
        <item m="1" x="101"/>
        <item m="1" x="109"/>
        <item m="1" x="118"/>
        <item m="1" x="5"/>
        <item m="1" x="23"/>
        <item m="1" x="37"/>
        <item m="1" x="26"/>
        <item m="1" x="4"/>
        <item m="1" x="98"/>
        <item m="1" x="115"/>
        <item m="1" x="41"/>
        <item m="1" x="76"/>
        <item m="1" x="29"/>
        <item m="1" x="50"/>
        <item m="1" x="35"/>
        <item m="1" x="59"/>
        <item m="1" x="44"/>
        <item m="1" x="66"/>
        <item m="1" x="51"/>
        <item m="1" x="78"/>
        <item m="1" x="60"/>
        <item m="1" x="86"/>
        <item m="1" x="67"/>
        <item m="1" x="95"/>
        <item m="1" x="79"/>
        <item m="1" x="100"/>
        <item m="1" x="87"/>
        <item m="1" x="104"/>
        <item m="1" x="116"/>
        <item m="1" x="106"/>
        <item m="1" x="90"/>
        <item m="1" x="63"/>
        <item m="1" x="42"/>
        <item m="1" x="57"/>
        <item m="1" x="21"/>
        <item m="1" x="27"/>
        <item m="1" x="36"/>
        <item m="1" x="40"/>
        <item m="1" x="72"/>
        <item m="1" x="117"/>
        <item m="1" x="107"/>
        <item m="1" x="91"/>
        <item m="1" x="58"/>
        <item m="1" x="126"/>
        <item m="1" x="74"/>
        <item m="1" x="62"/>
        <item m="1" x="94"/>
        <item m="1" x="75"/>
        <item m="1" x="54"/>
        <item m="1" x="61"/>
        <item m="1" x="15"/>
        <item m="1" x="80"/>
        <item m="1" x="96"/>
        <item m="1" x="105"/>
        <item m="1" x="113"/>
        <item m="1" x="124"/>
        <item m="1" x="12"/>
        <item m="1" x="31"/>
        <item m="1" x="123"/>
        <item m="1" x="13"/>
        <item m="1" x="81"/>
        <item m="1" x="56"/>
        <item m="1" x="71"/>
        <item m="1" x="16"/>
        <item m="1" x="122"/>
        <item m="1" x="103"/>
        <item m="1" x="53"/>
        <item m="1" x="114"/>
        <item m="1" x="73"/>
        <item m="1" x="93"/>
        <item m="1" x="108"/>
        <item m="1" x="45"/>
        <item m="1" x="68"/>
        <item m="1" x="3"/>
        <item x="0"/>
        <item x="1"/>
        <item x="2"/>
      </items>
    </pivotField>
    <pivotField axis="axisRow" compact="0" outline="0" showAll="0" defaultSubtotal="0">
      <items count="7">
        <item x="0"/>
        <item x="1"/>
        <item x="2"/>
        <item x="3"/>
        <item x="4"/>
        <item m="1" x="6"/>
        <item m="1" x="5"/>
      </items>
    </pivotField>
    <pivotField axis="axisRow" compact="0" outline="0" showAll="0" defaultSubtotal="0">
      <items count="5">
        <item x="2"/>
        <item x="1"/>
        <item x="0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24"/>
      <x/>
      <x v="2"/>
    </i>
    <i r="2">
      <x v="1"/>
      <x v="2"/>
    </i>
    <i r="2">
      <x v="2"/>
      <x v="2"/>
    </i>
    <i r="1">
      <x v="125"/>
      <x v="3"/>
      <x v="1"/>
    </i>
    <i r="1">
      <x v="126"/>
      <x v="4"/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109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70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36" tableType="queryTable" totalsRowShown="0">
  <autoFilter ref="A1:Y36" xr:uid="{C3D003CA-1AFF-426C-A03D-D3AF5760DF1A}"/>
  <sortState xmlns:xlrd2="http://schemas.microsoft.com/office/spreadsheetml/2017/richdata2" ref="A2:Y36">
    <sortCondition ref="D1:D36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9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8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7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6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5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4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3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62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61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60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9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8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7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6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26" tableType="queryTable" totalsRowShown="0">
  <autoFilter ref="A1:U26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44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43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42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41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40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39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38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37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36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26" tableType="queryTable" totalsRowShown="0">
  <autoFilter ref="A1:P26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55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54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53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52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51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50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49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48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47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46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45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B4" sqref="B4"/>
    </sheetView>
  </sheetViews>
  <sheetFormatPr defaultRowHeight="15" x14ac:dyDescent="0.25"/>
  <cols>
    <col min="1" max="1" width="16.42578125" bestFit="1" customWidth="1"/>
    <col min="2" max="2" width="81.140625" bestFit="1" customWidth="1"/>
    <col min="3" max="3" width="18.28515625" bestFit="1" customWidth="1"/>
    <col min="4" max="4" width="12.42578125" bestFit="1" customWidth="1"/>
    <col min="5" max="5" width="24" bestFit="1" customWidth="1"/>
    <col min="6" max="6" width="25.42578125" bestFit="1" customWidth="1"/>
    <col min="7" max="7" width="20.5703125" bestFit="1" customWidth="1"/>
    <col min="8" max="10" width="19.42578125" bestFit="1" customWidth="1"/>
    <col min="11" max="11" width="19.42578125" customWidth="1"/>
  </cols>
  <sheetData>
    <row r="1" spans="1:7" x14ac:dyDescent="0.2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25">
      <c r="A2" t="s">
        <v>67</v>
      </c>
      <c r="B2" t="s">
        <v>69</v>
      </c>
      <c r="C2" t="s">
        <v>70</v>
      </c>
      <c r="D2">
        <v>2</v>
      </c>
      <c r="E2">
        <v>5</v>
      </c>
      <c r="F2">
        <v>720</v>
      </c>
      <c r="G2">
        <f>0.95</f>
        <v>0.95</v>
      </c>
    </row>
  </sheetData>
  <phoneticPr fontId="2" type="noConversion"/>
  <conditionalFormatting sqref="D2">
    <cfRule type="expression" dxfId="35" priority="1">
      <formula>D2=3</formula>
    </cfRule>
    <cfRule type="expression" dxfId="34" priority="2">
      <formula>D2=2</formula>
    </cfRule>
    <cfRule type="expression" dxfId="33" priority="3">
      <formula>D2=1</formula>
    </cfRule>
    <cfRule type="expression" dxfId="32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9"/>
  <sheetViews>
    <sheetView tabSelected="1" workbookViewId="0"/>
  </sheetViews>
  <sheetFormatPr defaultRowHeight="15" x14ac:dyDescent="0.25"/>
  <cols>
    <col min="1" max="1" width="33.28515625" customWidth="1"/>
    <col min="2" max="2" width="28.7109375" bestFit="1" customWidth="1"/>
    <col min="3" max="3" width="12.5703125" bestFit="1" customWidth="1"/>
    <col min="4" max="4" width="9.28515625" bestFit="1" customWidth="1"/>
    <col min="5" max="5" width="30.5703125" bestFit="1" customWidth="1"/>
    <col min="6" max="6" width="20.85546875" bestFit="1" customWidth="1"/>
    <col min="7" max="7" width="12" bestFit="1" customWidth="1"/>
    <col min="8" max="8" width="28.28515625" bestFit="1" customWidth="1"/>
    <col min="9" max="9" width="28.42578125" bestFit="1" customWidth="1"/>
    <col min="10" max="10" width="28.7109375" bestFit="1" customWidth="1"/>
    <col min="11" max="11" width="17.28515625" bestFit="1" customWidth="1"/>
    <col min="12" max="12" width="17.5703125" bestFit="1" customWidth="1"/>
    <col min="13" max="13" width="31" bestFit="1" customWidth="1"/>
    <col min="14" max="14" width="27.7109375" bestFit="1" customWidth="1"/>
    <col min="15" max="15" width="18.7109375" bestFit="1" customWidth="1"/>
    <col min="16" max="16" width="12" bestFit="1" customWidth="1"/>
    <col min="17" max="17" width="12.5703125" bestFit="1" customWidth="1"/>
    <col min="18" max="18" width="9.28515625" bestFit="1" customWidth="1"/>
    <col min="19" max="19" width="30.5703125" bestFit="1" customWidth="1"/>
    <col min="20" max="20" width="12" bestFit="1" customWidth="1"/>
    <col min="21" max="21" width="28.28515625" bestFit="1" customWidth="1"/>
    <col min="22" max="22" width="23.140625" bestFit="1" customWidth="1"/>
    <col min="23" max="23" width="23.42578125" bestFit="1" customWidth="1"/>
    <col min="24" max="24" width="17.28515625" bestFit="1" customWidth="1"/>
    <col min="25" max="25" width="17.5703125" bestFit="1" customWidth="1"/>
    <col min="26" max="26" width="16.28515625" bestFit="1" customWidth="1"/>
    <col min="27" max="27" width="20.7109375" bestFit="1" customWidth="1"/>
    <col min="28" max="28" width="24.7109375" bestFit="1" customWidth="1"/>
    <col min="29" max="29" width="12" bestFit="1" customWidth="1"/>
    <col min="30" max="30" width="9.28515625" bestFit="1" customWidth="1"/>
    <col min="31" max="31" width="26.28515625" bestFit="1" customWidth="1"/>
    <col min="32" max="32" width="10.85546875" bestFit="1" customWidth="1"/>
    <col min="33" max="33" width="31.140625" bestFit="1" customWidth="1"/>
    <col min="34" max="34" width="20.85546875" bestFit="1" customWidth="1"/>
    <col min="35" max="35" width="21.140625" bestFit="1" customWidth="1"/>
    <col min="36" max="36" width="19.85546875" bestFit="1" customWidth="1"/>
    <col min="37" max="37" width="32.28515625" bestFit="1" customWidth="1"/>
    <col min="38" max="38" width="24.7109375" bestFit="1" customWidth="1"/>
    <col min="39" max="39" width="12" bestFit="1" customWidth="1"/>
    <col min="40" max="40" width="9.28515625" bestFit="1" customWidth="1"/>
    <col min="41" max="41" width="26.28515625" bestFit="1" customWidth="1"/>
    <col min="42" max="42" width="12" bestFit="1" customWidth="1"/>
    <col min="43" max="43" width="31.140625" bestFit="1" customWidth="1"/>
    <col min="44" max="44" width="20.85546875" bestFit="1" customWidth="1"/>
    <col min="45" max="45" width="21.140625" bestFit="1" customWidth="1"/>
    <col min="46" max="46" width="19.85546875" bestFit="1" customWidth="1"/>
    <col min="47" max="47" width="14.85546875" bestFit="1" customWidth="1"/>
    <col min="48" max="48" width="20.7109375" bestFit="1" customWidth="1"/>
    <col min="49" max="49" width="26.28515625" bestFit="1" customWidth="1"/>
    <col min="50" max="50" width="9.28515625" bestFit="1" customWidth="1"/>
    <col min="51" max="51" width="27.5703125" bestFit="1" customWidth="1"/>
    <col min="52" max="52" width="28.7109375" bestFit="1" customWidth="1"/>
    <col min="53" max="53" width="27" bestFit="1" customWidth="1"/>
    <col min="54" max="54" width="24.85546875" bestFit="1" customWidth="1"/>
    <col min="55" max="55" width="29.28515625" bestFit="1" customWidth="1"/>
    <col min="56" max="56" width="31.85546875" bestFit="1" customWidth="1"/>
    <col min="57" max="57" width="21.7109375" bestFit="1" customWidth="1"/>
  </cols>
  <sheetData>
    <row r="1" spans="1:52" ht="18.75" x14ac:dyDescent="0.3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2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25">
      <c r="A3" t="s">
        <v>67</v>
      </c>
      <c r="B3" t="s">
        <v>71</v>
      </c>
      <c r="C3" t="s">
        <v>72</v>
      </c>
      <c r="D3" t="s">
        <v>73</v>
      </c>
      <c r="E3" s="5">
        <v>2.9346189240650742</v>
      </c>
      <c r="F3" s="5">
        <v>1</v>
      </c>
      <c r="G3" s="5">
        <v>0.59031621615063468</v>
      </c>
      <c r="H3" s="5">
        <v>0.4754234776917165</v>
      </c>
      <c r="I3" s="5">
        <v>2.26286020743491</v>
      </c>
      <c r="J3" s="5">
        <v>3.4255141991039499</v>
      </c>
      <c r="K3" s="5">
        <v>0</v>
      </c>
      <c r="L3" s="5">
        <v>62.5362094302236</v>
      </c>
      <c r="M3" s="5">
        <v>151.19999999999999</v>
      </c>
      <c r="O3" t="s">
        <v>67</v>
      </c>
      <c r="P3" t="s">
        <v>82</v>
      </c>
      <c r="Q3" t="s">
        <v>83</v>
      </c>
      <c r="R3" t="s">
        <v>84</v>
      </c>
      <c r="S3" s="5">
        <v>0.69887379983755582</v>
      </c>
      <c r="T3" s="5">
        <v>4.4602442224415374E-2</v>
      </c>
      <c r="U3" s="5">
        <v>3.5921507178221228E-2</v>
      </c>
      <c r="V3" s="5">
        <v>0.64421661257995999</v>
      </c>
      <c r="W3" s="5">
        <v>0.74385294251498302</v>
      </c>
      <c r="X3" s="5">
        <v>0</v>
      </c>
      <c r="Y3" s="5">
        <v>1</v>
      </c>
      <c r="AA3" t="s">
        <v>65</v>
      </c>
      <c r="AB3" t="s">
        <v>65</v>
      </c>
      <c r="AC3" t="s">
        <v>65</v>
      </c>
      <c r="AD3" t="s">
        <v>65</v>
      </c>
      <c r="AE3" s="5"/>
      <c r="AF3" s="5"/>
      <c r="AG3" s="5"/>
      <c r="AH3" s="5"/>
      <c r="AI3" s="5"/>
      <c r="AK3" t="s">
        <v>67</v>
      </c>
      <c r="AL3" t="s">
        <v>97</v>
      </c>
      <c r="AM3" t="s">
        <v>96</v>
      </c>
      <c r="AN3" t="s">
        <v>98</v>
      </c>
      <c r="AO3" s="5">
        <v>150.80000000000001</v>
      </c>
      <c r="AP3" s="5">
        <v>14.303408774993876</v>
      </c>
      <c r="AQ3" s="5">
        <v>11.519548602267365</v>
      </c>
      <c r="AR3" s="5">
        <v>134</v>
      </c>
      <c r="AS3" s="5">
        <v>163</v>
      </c>
      <c r="AU3" t="s">
        <v>65</v>
      </c>
      <c r="AV3" t="s">
        <v>65</v>
      </c>
      <c r="AW3" t="s">
        <v>65</v>
      </c>
      <c r="AX3" t="s">
        <v>65</v>
      </c>
      <c r="AY3" s="4"/>
      <c r="AZ3" s="4"/>
    </row>
    <row r="4" spans="1:52" x14ac:dyDescent="0.25">
      <c r="B4" t="s">
        <v>74</v>
      </c>
      <c r="C4" t="s">
        <v>75</v>
      </c>
      <c r="D4" t="s">
        <v>76</v>
      </c>
      <c r="E4" s="5">
        <v>0</v>
      </c>
      <c r="F4" s="5">
        <v>1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150.80000000000001</v>
      </c>
      <c r="Q4" t="s">
        <v>85</v>
      </c>
      <c r="R4" t="s">
        <v>84</v>
      </c>
      <c r="S4" s="5">
        <v>0.69887379983755582</v>
      </c>
      <c r="T4" s="5">
        <v>4.4602442224415374E-2</v>
      </c>
      <c r="U4" s="5">
        <v>3.5921507178221228E-2</v>
      </c>
      <c r="V4" s="5">
        <v>0.64421661257995999</v>
      </c>
      <c r="W4" s="5">
        <v>0.74385294251498302</v>
      </c>
      <c r="X4" s="5">
        <v>0</v>
      </c>
      <c r="Y4" s="5">
        <v>1</v>
      </c>
      <c r="AL4" t="s">
        <v>89</v>
      </c>
      <c r="AM4" t="s">
        <v>90</v>
      </c>
      <c r="AN4" t="s">
        <v>84</v>
      </c>
      <c r="AO4" s="5">
        <v>151.19999999999999</v>
      </c>
      <c r="AP4" s="5">
        <v>14.195211996152123</v>
      </c>
      <c r="AQ4" s="5">
        <v>11.432410069622241</v>
      </c>
      <c r="AR4" s="5">
        <v>134</v>
      </c>
      <c r="AS4" s="5">
        <v>163</v>
      </c>
    </row>
    <row r="5" spans="1:52" x14ac:dyDescent="0.25">
      <c r="C5" t="s">
        <v>77</v>
      </c>
      <c r="D5" t="s">
        <v>76</v>
      </c>
      <c r="E5" s="5">
        <v>0</v>
      </c>
      <c r="F5" s="5">
        <v>1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150.80000000000001</v>
      </c>
      <c r="Q5" t="s">
        <v>86</v>
      </c>
      <c r="R5" t="s">
        <v>84</v>
      </c>
      <c r="S5" s="5">
        <v>1</v>
      </c>
      <c r="T5" s="5">
        <v>0</v>
      </c>
      <c r="U5" s="5">
        <v>0</v>
      </c>
      <c r="V5" s="5">
        <v>1</v>
      </c>
      <c r="W5" s="5">
        <v>1</v>
      </c>
      <c r="X5" s="5">
        <v>1</v>
      </c>
      <c r="Y5" s="5">
        <v>1</v>
      </c>
      <c r="AL5" t="s">
        <v>91</v>
      </c>
      <c r="AM5" t="s">
        <v>92</v>
      </c>
      <c r="AN5" t="s">
        <v>84</v>
      </c>
      <c r="AO5" s="5">
        <v>0.69887379983755582</v>
      </c>
      <c r="AP5" s="5">
        <v>4.4602442224415374E-2</v>
      </c>
      <c r="AQ5" s="5">
        <v>3.5921507178221228E-2</v>
      </c>
      <c r="AR5" s="5">
        <v>0.64421661257995999</v>
      </c>
      <c r="AS5" s="5">
        <v>0.74385294251498302</v>
      </c>
    </row>
    <row r="6" spans="1:52" x14ac:dyDescent="0.25">
      <c r="C6" t="s">
        <v>78</v>
      </c>
      <c r="D6" t="s">
        <v>76</v>
      </c>
      <c r="E6" s="5">
        <v>6.2805877424202201</v>
      </c>
      <c r="F6" s="5">
        <v>1</v>
      </c>
      <c r="G6" s="5">
        <v>0.66732147921423446</v>
      </c>
      <c r="H6" s="5">
        <v>0.53744127250174434</v>
      </c>
      <c r="I6" s="5">
        <v>5.6189252231018001</v>
      </c>
      <c r="J6" s="5">
        <v>6.8869765950559803</v>
      </c>
      <c r="K6" s="5">
        <v>1.20224816547654</v>
      </c>
      <c r="L6" s="5">
        <v>67.726619898172203</v>
      </c>
      <c r="M6" s="5">
        <v>150.80000000000001</v>
      </c>
      <c r="P6" t="s">
        <v>71</v>
      </c>
      <c r="Q6" t="s">
        <v>87</v>
      </c>
      <c r="R6" t="s">
        <v>73</v>
      </c>
      <c r="S6" s="5">
        <v>0.61285553562621375</v>
      </c>
      <c r="T6" s="5">
        <v>0.10088800633525449</v>
      </c>
      <c r="U6" s="5">
        <v>8.1252260258171893E-2</v>
      </c>
      <c r="V6" s="5">
        <v>0.47457207128148898</v>
      </c>
      <c r="W6" s="5">
        <v>0.68938938009318795</v>
      </c>
      <c r="X6" s="5">
        <v>0</v>
      </c>
      <c r="Y6" s="5">
        <v>6</v>
      </c>
      <c r="AL6" t="s">
        <v>93</v>
      </c>
      <c r="AM6" t="s">
        <v>94</v>
      </c>
      <c r="AN6" t="s">
        <v>76</v>
      </c>
      <c r="AO6" s="5">
        <v>151.19999999999999</v>
      </c>
      <c r="AP6" s="5">
        <v>14.195211996152123</v>
      </c>
      <c r="AQ6" s="5">
        <v>11.432410069622241</v>
      </c>
      <c r="AR6" s="5">
        <v>134</v>
      </c>
      <c r="AS6" s="5">
        <v>163</v>
      </c>
    </row>
    <row r="7" spans="1:52" x14ac:dyDescent="0.25">
      <c r="C7" t="s">
        <v>79</v>
      </c>
      <c r="D7" t="s">
        <v>76</v>
      </c>
      <c r="E7" s="5">
        <v>0</v>
      </c>
      <c r="F7" s="5">
        <v>1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150.80000000000001</v>
      </c>
      <c r="P7" t="s">
        <v>74</v>
      </c>
      <c r="Q7" t="s">
        <v>88</v>
      </c>
      <c r="R7" t="s">
        <v>76</v>
      </c>
      <c r="S7" s="5">
        <v>1.31172933546377</v>
      </c>
      <c r="T7" s="5">
        <v>0.10879813583324249</v>
      </c>
      <c r="U7" s="5">
        <v>8.7622848041526383E-2</v>
      </c>
      <c r="V7" s="5">
        <v>1.17197377359665</v>
      </c>
      <c r="W7" s="5">
        <v>1.3872595956732801</v>
      </c>
      <c r="X7" s="5">
        <v>0</v>
      </c>
      <c r="Y7" s="5">
        <v>7</v>
      </c>
      <c r="AL7" t="s">
        <v>95</v>
      </c>
      <c r="AM7" t="s">
        <v>96</v>
      </c>
      <c r="AN7" t="s">
        <v>76</v>
      </c>
      <c r="AO7" s="5">
        <v>150.80000000000001</v>
      </c>
      <c r="AP7" s="5">
        <v>14.303408774993876</v>
      </c>
      <c r="AQ7" s="5">
        <v>11.519548602267365</v>
      </c>
      <c r="AR7" s="5">
        <v>134</v>
      </c>
      <c r="AS7" s="5">
        <v>163</v>
      </c>
    </row>
    <row r="8" spans="1:52" x14ac:dyDescent="0.25">
      <c r="C8" t="s">
        <v>80</v>
      </c>
      <c r="D8" t="s">
        <v>76</v>
      </c>
      <c r="E8" s="5">
        <v>3.3394188832465082</v>
      </c>
      <c r="F8" s="5">
        <v>1</v>
      </c>
      <c r="G8" s="5">
        <v>0.12655606227406777</v>
      </c>
      <c r="H8" s="5">
        <v>0.10192456450146606</v>
      </c>
      <c r="I8" s="5">
        <v>3.1996238678891298</v>
      </c>
      <c r="J8" s="5">
        <v>3.4614623959520299</v>
      </c>
      <c r="K8" s="5">
        <v>1.1759604867906399</v>
      </c>
      <c r="L8" s="5">
        <v>5.93193265422937</v>
      </c>
      <c r="M8" s="5">
        <v>150.80000000000001</v>
      </c>
    </row>
    <row r="9" spans="1:52" x14ac:dyDescent="0.25">
      <c r="C9" t="s">
        <v>81</v>
      </c>
      <c r="D9" t="s">
        <v>76</v>
      </c>
      <c r="E9" s="5">
        <v>2.941168859173712</v>
      </c>
      <c r="F9" s="5">
        <v>1</v>
      </c>
      <c r="G9" s="5">
        <v>0.59233149794432682</v>
      </c>
      <c r="H9" s="5">
        <v>0.47704652691969407</v>
      </c>
      <c r="I9" s="5">
        <v>2.2727950110500301</v>
      </c>
      <c r="J9" s="5">
        <v>3.4255141991039499</v>
      </c>
      <c r="K9" s="5">
        <v>0</v>
      </c>
      <c r="L9" s="5">
        <v>62.5362094302236</v>
      </c>
      <c r="M9" s="5">
        <v>150.80000000000001</v>
      </c>
    </row>
  </sheetData>
  <dataConsolidate/>
  <conditionalFormatting pivot="1" sqref="G3:G9">
    <cfRule type="expression" dxfId="31" priority="14">
      <formula>G3=200000000000000000000</formula>
    </cfRule>
  </conditionalFormatting>
  <conditionalFormatting pivot="1" sqref="T3:T7">
    <cfRule type="expression" dxfId="30" priority="13">
      <formula>T3=200000000000000000000</formula>
    </cfRule>
  </conditionalFormatting>
  <conditionalFormatting pivot="1" sqref="T3:T7">
    <cfRule type="expression" dxfId="29" priority="12">
      <formula>T3=300000000000000000000</formula>
    </cfRule>
  </conditionalFormatting>
  <conditionalFormatting pivot="1" sqref="G3:G9">
    <cfRule type="expression" dxfId="28" priority="11">
      <formula>G3=300000000000000000000</formula>
    </cfRule>
  </conditionalFormatting>
  <conditionalFormatting pivot="1" sqref="F3:F9">
    <cfRule type="expression" dxfId="27" priority="10">
      <formula>F3=0</formula>
    </cfRule>
  </conditionalFormatting>
  <conditionalFormatting pivot="1" sqref="F3:F9">
    <cfRule type="expression" dxfId="26" priority="9">
      <formula>F3=1</formula>
    </cfRule>
  </conditionalFormatting>
  <conditionalFormatting pivot="1" sqref="T3:T7">
    <cfRule type="expression" dxfId="25" priority="8">
      <formula>T3=400000000000000000000</formula>
    </cfRule>
  </conditionalFormatting>
  <conditionalFormatting pivot="1" sqref="AP3:AP7">
    <cfRule type="expression" dxfId="24" priority="7">
      <formula>AP3=400000000000000000000</formula>
    </cfRule>
  </conditionalFormatting>
  <conditionalFormatting pivot="1" sqref="AF3">
    <cfRule type="expression" dxfId="23" priority="6">
      <formula>AF3=400000000000000000000</formula>
    </cfRule>
  </conditionalFormatting>
  <conditionalFormatting pivot="1" sqref="G3:G9">
    <cfRule type="expression" dxfId="22" priority="5">
      <formula>G3=400000000000000000000</formula>
    </cfRule>
  </conditionalFormatting>
  <conditionalFormatting pivot="1" sqref="AZ3">
    <cfRule type="expression" dxfId="21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36"/>
  <sheetViews>
    <sheetView workbookViewId="0">
      <selection activeCell="A2" sqref="A2:K61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20.42578125" bestFit="1" customWidth="1"/>
    <col min="5" max="5" width="13.28515625" bestFit="1" customWidth="1"/>
    <col min="6" max="6" width="9.2851562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2.5703125" bestFit="1" customWidth="1"/>
    <col min="12" max="12" width="54.7109375" bestFit="1" customWidth="1"/>
    <col min="13" max="13" width="17.28515625" bestFit="1" customWidth="1"/>
    <col min="14" max="14" width="20.28515625" bestFit="1" customWidth="1"/>
    <col min="15" max="15" width="18" bestFit="1" customWidth="1"/>
    <col min="16" max="16" width="20.5703125" bestFit="1" customWidth="1"/>
    <col min="17" max="17" width="12.42578125" bestFit="1" customWidth="1"/>
    <col min="18" max="18" width="19.5703125" bestFit="1" customWidth="1"/>
    <col min="19" max="19" width="19.85546875" bestFit="1" customWidth="1"/>
    <col min="20" max="20" width="18.5703125" bestFit="1" customWidth="1"/>
    <col min="21" max="21" width="18.85546875" bestFit="1" customWidth="1"/>
    <col min="22" max="22" width="30.140625" bestFit="1" customWidth="1"/>
    <col min="23" max="23" width="21" bestFit="1" customWidth="1"/>
    <col min="24" max="24" width="24.42578125" bestFit="1" customWidth="1"/>
    <col min="25" max="25" width="22.7109375" bestFit="1" customWidth="1"/>
  </cols>
  <sheetData>
    <row r="1" spans="1:2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25">
      <c r="A2" t="s">
        <v>67</v>
      </c>
      <c r="B2" t="s">
        <v>70</v>
      </c>
      <c r="C2">
        <v>1</v>
      </c>
      <c r="D2" t="s">
        <v>71</v>
      </c>
      <c r="E2" t="s">
        <v>72</v>
      </c>
      <c r="F2" t="s">
        <v>73</v>
      </c>
      <c r="G2">
        <v>3.4255141991039499</v>
      </c>
      <c r="H2">
        <v>2E+20</v>
      </c>
      <c r="I2">
        <v>0</v>
      </c>
      <c r="J2">
        <v>62.534481130526501</v>
      </c>
      <c r="K2">
        <v>134</v>
      </c>
      <c r="L2" t="str">
        <f>DiscreteStatsTable[[#This Row],[ProjectName]]&amp;DiscreteStatsTable[[#This Row],[Name]]&amp;DiscreteStatsTable[[#This Row],[Type]]&amp;DiscreteStatsTable[[#This Row],[Source]]</f>
        <v>Unnamed ProjectDrilling center.QueueWaiting TimeQueue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5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2.9346189240650742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0.4754234776917165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0.59031621615063468</v>
      </c>
      <c r="R2" cm="1">
        <f t="array" ref="R2">MIN(IF((DiscreteStatsTable[GroupByKey]=DiscreteStatsTable[[#This Row],[GroupByKey]]),(DiscreteStatsTable[GroupByKey]=DiscreteStatsTable[[#This Row],[GroupByKey]])*DiscreteStatsTable[Average]))</f>
        <v>2.26286020743491</v>
      </c>
      <c r="S2" cm="1">
        <f t="array" ref="S2">MAX(IF((DiscreteStatsTable[GroupByKey]=DiscreteStatsTable[[#This Row],[GroupByKey]]),(DiscreteStatsTable[GroupByKey]=DiscreteStatsTable[[#This Row],[GroupByKey]])*DiscreteStatsTable[Average]))</f>
        <v>3.4255141991039499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62.5362094302236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151.19999999999999</v>
      </c>
      <c r="W2">
        <f>IF((DiscreteStatsTable[[#This Row],[RepsRequested]]&gt;1),DiscreteStatsTable[[#This Row],[HalfWidth]],DiscreteStatsTable[[#This Row],[BatchMeansHalfWidth]])</f>
        <v>0.59031621615063468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5</v>
      </c>
      <c r="Y2">
        <f>IF(DiscreteStatsTable[[#This Row],[RepsRequested]]=DiscreteStatsTable[[#This Row],[RepsWithStatObserved]],1,0)</f>
        <v>1</v>
      </c>
    </row>
    <row r="3" spans="1:25" x14ac:dyDescent="0.25">
      <c r="A3" t="s">
        <v>67</v>
      </c>
      <c r="B3" t="s">
        <v>70</v>
      </c>
      <c r="C3">
        <v>2</v>
      </c>
      <c r="D3" t="s">
        <v>71</v>
      </c>
      <c r="E3" t="s">
        <v>72</v>
      </c>
      <c r="F3" t="s">
        <v>73</v>
      </c>
      <c r="G3">
        <v>3.3537861734263199</v>
      </c>
      <c r="H3">
        <v>2E+20</v>
      </c>
      <c r="I3">
        <v>0</v>
      </c>
      <c r="J3">
        <v>36.5282671287193</v>
      </c>
      <c r="K3">
        <v>148</v>
      </c>
      <c r="L3" t="str">
        <f>DiscreteStatsTable[[#This Row],[ProjectName]]&amp;DiscreteStatsTable[[#This Row],[Name]]&amp;DiscreteStatsTable[[#This Row],[Type]]&amp;DiscreteStatsTable[[#This Row],[Source]]</f>
        <v>Unnamed ProjectDrilling center.QueueWaiting TimeQueue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5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2.9346189240650742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0.4754234776917165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0.59031621615063468</v>
      </c>
      <c r="R3" cm="1">
        <f t="array" ref="R3">MIN(IF((DiscreteStatsTable[GroupByKey]=DiscreteStatsTable[[#This Row],[GroupByKey]]),(DiscreteStatsTable[GroupByKey]=DiscreteStatsTable[[#This Row],[GroupByKey]])*DiscreteStatsTable[Average]))</f>
        <v>2.26286020743491</v>
      </c>
      <c r="S3" cm="1">
        <f t="array" ref="S3">MAX(IF((DiscreteStatsTable[GroupByKey]=DiscreteStatsTable[[#This Row],[GroupByKey]]),(DiscreteStatsTable[GroupByKey]=DiscreteStatsTable[[#This Row],[GroupByKey]])*DiscreteStatsTable[Average]))</f>
        <v>3.4255141991039499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62.5362094302236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151.19999999999999</v>
      </c>
      <c r="W3">
        <f>IF((DiscreteStatsTable[[#This Row],[RepsRequested]]&gt;1),DiscreteStatsTable[[#This Row],[HalfWidth]],DiscreteStatsTable[[#This Row],[BatchMeansHalfWidth]])</f>
        <v>0.59031621615063468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5</v>
      </c>
      <c r="Y3">
        <f>IF(DiscreteStatsTable[[#This Row],[RepsRequested]]=DiscreteStatsTable[[#This Row],[RepsWithStatObserved]],1,0)</f>
        <v>1</v>
      </c>
    </row>
    <row r="4" spans="1:25" x14ac:dyDescent="0.25">
      <c r="A4" t="s">
        <v>67</v>
      </c>
      <c r="B4" t="s">
        <v>70</v>
      </c>
      <c r="C4">
        <v>3</v>
      </c>
      <c r="D4" t="s">
        <v>71</v>
      </c>
      <c r="E4" t="s">
        <v>72</v>
      </c>
      <c r="F4" t="s">
        <v>73</v>
      </c>
      <c r="G4">
        <v>2.75311137568041</v>
      </c>
      <c r="H4">
        <v>2E+20</v>
      </c>
      <c r="I4">
        <v>0</v>
      </c>
      <c r="J4">
        <v>39.4682262463771</v>
      </c>
      <c r="K4">
        <v>163</v>
      </c>
      <c r="L4" t="str">
        <f>DiscreteStatsTable[[#This Row],[ProjectName]]&amp;DiscreteStatsTable[[#This Row],[Name]]&amp;DiscreteStatsTable[[#This Row],[Type]]&amp;DiscreteStatsTable[[#This Row],[Source]]</f>
        <v>Unnamed ProjectDrilling center.QueueWaiting TimeQueue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5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2.9346189240650742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0.4754234776917165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0.59031621615063468</v>
      </c>
      <c r="R4" cm="1">
        <f t="array" ref="R4">MIN(IF((DiscreteStatsTable[GroupByKey]=DiscreteStatsTable[[#This Row],[GroupByKey]]),(DiscreteStatsTable[GroupByKey]=DiscreteStatsTable[[#This Row],[GroupByKey]])*DiscreteStatsTable[Average]))</f>
        <v>2.26286020743491</v>
      </c>
      <c r="S4" cm="1">
        <f t="array" ref="S4">MAX(IF((DiscreteStatsTable[GroupByKey]=DiscreteStatsTable[[#This Row],[GroupByKey]]),(DiscreteStatsTable[GroupByKey]=DiscreteStatsTable[[#This Row],[GroupByKey]])*DiscreteStatsTable[Average]))</f>
        <v>3.4255141991039499</v>
      </c>
      <c r="T4" cm="1">
        <f t="array" ref="T4">MIN(IF((DiscreteStatsTable[GroupByKey]=DiscreteStatsTable[[#This Row],[GroupByKey]]),(DiscreteStatsTable[GroupByKey]=DiscreteStatsTable[[#This Row],[GroupByKey]])*DiscreteStatsTable[Minimum]))</f>
        <v>0</v>
      </c>
      <c r="U4" cm="1">
        <f t="array" ref="U4">MAX(IF((DiscreteStatsTable[GroupByKey]=DiscreteStatsTable[[#This Row],[GroupByKey]]),(DiscreteStatsTable[GroupByKey]=DiscreteStatsTable[[#This Row],[GroupByKey]])*DiscreteStatsTable[Maximum]))</f>
        <v>62.5362094302236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151.19999999999999</v>
      </c>
      <c r="W4">
        <f>IF((DiscreteStatsTable[[#This Row],[RepsRequested]]&gt;1),DiscreteStatsTable[[#This Row],[HalfWidth]],DiscreteStatsTable[[#This Row],[BatchMeansHalfWidth]])</f>
        <v>0.59031621615063468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5</v>
      </c>
      <c r="Y4">
        <f>IF(DiscreteStatsTable[[#This Row],[RepsRequested]]=DiscreteStatsTable[[#This Row],[RepsWithStatObserved]],1,0)</f>
        <v>1</v>
      </c>
    </row>
    <row r="5" spans="1:25" x14ac:dyDescent="0.25">
      <c r="A5" t="s">
        <v>67</v>
      </c>
      <c r="B5" t="s">
        <v>70</v>
      </c>
      <c r="C5">
        <v>4</v>
      </c>
      <c r="D5" t="s">
        <v>71</v>
      </c>
      <c r="E5" t="s">
        <v>72</v>
      </c>
      <c r="F5" t="s">
        <v>73</v>
      </c>
      <c r="G5">
        <v>2.26286020743491</v>
      </c>
      <c r="H5">
        <v>2E+20</v>
      </c>
      <c r="I5">
        <v>0</v>
      </c>
      <c r="J5">
        <v>26.168643753909699</v>
      </c>
      <c r="K5">
        <v>151</v>
      </c>
      <c r="L5" t="str">
        <f>DiscreteStatsTable[[#This Row],[ProjectName]]&amp;DiscreteStatsTable[[#This Row],[Name]]&amp;DiscreteStatsTable[[#This Row],[Type]]&amp;DiscreteStatsTable[[#This Row],[Source]]</f>
        <v>Unnamed ProjectDrilling center.QueueWaiting TimeQueue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5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2.9346189240650742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0.4754234776917165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0.59031621615063468</v>
      </c>
      <c r="R5" cm="1">
        <f t="array" ref="R5">MIN(IF((DiscreteStatsTable[GroupByKey]=DiscreteStatsTable[[#This Row],[GroupByKey]]),(DiscreteStatsTable[GroupByKey]=DiscreteStatsTable[[#This Row],[GroupByKey]])*DiscreteStatsTable[Average]))</f>
        <v>2.26286020743491</v>
      </c>
      <c r="S5" cm="1">
        <f t="array" ref="S5">MAX(IF((DiscreteStatsTable[GroupByKey]=DiscreteStatsTable[[#This Row],[GroupByKey]]),(DiscreteStatsTable[GroupByKey]=DiscreteStatsTable[[#This Row],[GroupByKey]])*DiscreteStatsTable[Average]))</f>
        <v>3.4255141991039499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62.5362094302236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151.19999999999999</v>
      </c>
      <c r="W5">
        <f>IF((DiscreteStatsTable[[#This Row],[RepsRequested]]&gt;1),DiscreteStatsTable[[#This Row],[HalfWidth]],DiscreteStatsTable[[#This Row],[BatchMeansHalfWidth]])</f>
        <v>0.59031621615063468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5</v>
      </c>
      <c r="Y5">
        <f>IF(DiscreteStatsTable[[#This Row],[RepsRequested]]=DiscreteStatsTable[[#This Row],[RepsWithStatObserved]],1,0)</f>
        <v>1</v>
      </c>
    </row>
    <row r="6" spans="1:25" x14ac:dyDescent="0.25">
      <c r="A6" t="s">
        <v>67</v>
      </c>
      <c r="B6" t="s">
        <v>70</v>
      </c>
      <c r="C6">
        <v>5</v>
      </c>
      <c r="D6" t="s">
        <v>71</v>
      </c>
      <c r="E6" t="s">
        <v>72</v>
      </c>
      <c r="F6" t="s">
        <v>73</v>
      </c>
      <c r="G6">
        <v>2.8778226646797802</v>
      </c>
      <c r="H6">
        <v>2E+20</v>
      </c>
      <c r="I6">
        <v>0</v>
      </c>
      <c r="J6">
        <v>62.5362094302236</v>
      </c>
      <c r="K6">
        <v>160</v>
      </c>
      <c r="L6" t="str">
        <f>DiscreteStatsTable[[#This Row],[ProjectName]]&amp;DiscreteStatsTable[[#This Row],[Name]]&amp;DiscreteStatsTable[[#This Row],[Type]]&amp;DiscreteStatsTable[[#This Row],[Source]]</f>
        <v>Unnamed ProjectDrilling center.QueueWaiting TimeQueue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5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2.9346189240650742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0.4754234776917165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0.59031621615063468</v>
      </c>
      <c r="R6" cm="1">
        <f t="array" ref="R6">MIN(IF((DiscreteStatsTable[GroupByKey]=DiscreteStatsTable[[#This Row],[GroupByKey]]),(DiscreteStatsTable[GroupByKey]=DiscreteStatsTable[[#This Row],[GroupByKey]])*DiscreteStatsTable[Average]))</f>
        <v>2.26286020743491</v>
      </c>
      <c r="S6" cm="1">
        <f t="array" ref="S6">MAX(IF((DiscreteStatsTable[GroupByKey]=DiscreteStatsTable[[#This Row],[GroupByKey]]),(DiscreteStatsTable[GroupByKey]=DiscreteStatsTable[[#This Row],[GroupByKey]])*DiscreteStatsTable[Average]))</f>
        <v>3.4255141991039499</v>
      </c>
      <c r="T6" cm="1">
        <f t="array" ref="T6">MIN(IF((DiscreteStatsTable[GroupByKey]=DiscreteStatsTable[[#This Row],[GroupByKey]]),(DiscreteStatsTable[GroupByKey]=DiscreteStatsTable[[#This Row],[GroupByKey]])*DiscreteStatsTable[Minimum]))</f>
        <v>0</v>
      </c>
      <c r="U6" cm="1">
        <f t="array" ref="U6">MAX(IF((DiscreteStatsTable[GroupByKey]=DiscreteStatsTable[[#This Row],[GroupByKey]]),(DiscreteStatsTable[GroupByKey]=DiscreteStatsTable[[#This Row],[GroupByKey]])*DiscreteStatsTable[Maximum]))</f>
        <v>62.5362094302236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151.19999999999999</v>
      </c>
      <c r="W6">
        <f>IF((DiscreteStatsTable[[#This Row],[RepsRequested]]&gt;1),DiscreteStatsTable[[#This Row],[HalfWidth]],DiscreteStatsTable[[#This Row],[BatchMeansHalfWidth]])</f>
        <v>0.59031621615063468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5</v>
      </c>
      <c r="Y6">
        <f>IF(DiscreteStatsTable[[#This Row],[RepsRequested]]=DiscreteStatsTable[[#This Row],[RepsWithStatObserved]],1,0)</f>
        <v>1</v>
      </c>
    </row>
    <row r="7" spans="1:25" x14ac:dyDescent="0.25">
      <c r="A7" t="s">
        <v>67</v>
      </c>
      <c r="B7" t="s">
        <v>70</v>
      </c>
      <c r="C7">
        <v>1</v>
      </c>
      <c r="D7" t="s">
        <v>74</v>
      </c>
      <c r="E7" t="s">
        <v>75</v>
      </c>
      <c r="F7" t="s">
        <v>76</v>
      </c>
      <c r="G7">
        <v>0</v>
      </c>
      <c r="H7">
        <v>2E+20</v>
      </c>
      <c r="I7">
        <v>0</v>
      </c>
      <c r="J7">
        <v>0</v>
      </c>
      <c r="K7">
        <v>134</v>
      </c>
      <c r="L7" t="str">
        <f>DiscreteStatsTable[[#This Row],[ProjectName]]&amp;DiscreteStatsTable[[#This Row],[Name]]&amp;DiscreteStatsTable[[#This Row],[Type]]&amp;DiscreteStatsTable[[#This Row],[Source]]</f>
        <v>Unnamed ProjectPartNVA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5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0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" cm="1">
        <f t="array" ref="R7">MIN(IF((DiscreteStatsTable[GroupByKey]=DiscreteStatsTable[[#This Row],[GroupByKey]]),(DiscreteStatsTable[GroupByKey]=DiscreteStatsTable[[#This Row],[GroupByKey]])*DiscreteStatsTable[Average]))</f>
        <v>0</v>
      </c>
      <c r="S7" cm="1">
        <f t="array" ref="S7">MAX(IF((DiscreteStatsTable[GroupByKey]=DiscreteStatsTable[[#This Row],[GroupByKey]]),(DiscreteStatsTable[GroupByKey]=DiscreteStatsTable[[#This Row],[GroupByKey]])*DiscreteStatsTable[Average]))</f>
        <v>0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0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7">
        <f>IF((DiscreteStatsTable[[#This Row],[RepsRequested]]&gt;1),DiscreteStatsTable[[#This Row],[HalfWidth]],DiscreteStatsTable[[#This Row],[BatchMeansHalfWidth]])</f>
        <v>0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5</v>
      </c>
      <c r="Y7">
        <f>IF(DiscreteStatsTable[[#This Row],[RepsRequested]]=DiscreteStatsTable[[#This Row],[RepsWithStatObserved]],1,0)</f>
        <v>1</v>
      </c>
    </row>
    <row r="8" spans="1:25" x14ac:dyDescent="0.25">
      <c r="A8" t="s">
        <v>67</v>
      </c>
      <c r="B8" t="s">
        <v>70</v>
      </c>
      <c r="C8">
        <v>1</v>
      </c>
      <c r="D8" t="s">
        <v>74</v>
      </c>
      <c r="E8" t="s">
        <v>77</v>
      </c>
      <c r="F8" t="s">
        <v>76</v>
      </c>
      <c r="G8">
        <v>0</v>
      </c>
      <c r="H8">
        <v>2E+20</v>
      </c>
      <c r="I8">
        <v>0</v>
      </c>
      <c r="J8">
        <v>0</v>
      </c>
      <c r="K8">
        <v>134</v>
      </c>
      <c r="L8" t="str">
        <f>DiscreteStatsTable[[#This Row],[ProjectName]]&amp;DiscreteStatsTable[[#This Row],[Name]]&amp;DiscreteStatsTable[[#This Row],[Type]]&amp;DiscreteStatsTable[[#This Row],[Source]]</f>
        <v>Unnamed ProjectPartOther TimeEntity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5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0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8">
        <f>IF((DiscreteStatsTable[[#This Row],[RepsRequested]]&gt;1),DiscreteStatsTable[[#This Row],[HalfWidth]],DiscreteStatsTable[[#This Row],[BatchMeansHalfWidth]])</f>
        <v>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5</v>
      </c>
      <c r="Y8">
        <f>IF(DiscreteStatsTable[[#This Row],[RepsRequested]]=DiscreteStatsTable[[#This Row],[RepsWithStatObserved]],1,0)</f>
        <v>1</v>
      </c>
    </row>
    <row r="9" spans="1:25" x14ac:dyDescent="0.25">
      <c r="A9" t="s">
        <v>67</v>
      </c>
      <c r="B9" t="s">
        <v>70</v>
      </c>
      <c r="C9">
        <v>1</v>
      </c>
      <c r="D9" t="s">
        <v>74</v>
      </c>
      <c r="E9" t="s">
        <v>78</v>
      </c>
      <c r="F9" t="s">
        <v>76</v>
      </c>
      <c r="G9">
        <v>6.8869765950559803</v>
      </c>
      <c r="H9">
        <v>2E+20</v>
      </c>
      <c r="I9">
        <v>1.4049202988909999</v>
      </c>
      <c r="J9">
        <v>67.726619898172203</v>
      </c>
      <c r="K9">
        <v>134</v>
      </c>
      <c r="L9" t="str">
        <f>DiscreteStatsTable[[#This Row],[ProjectName]]&amp;DiscreteStatsTable[[#This Row],[Name]]&amp;DiscreteStatsTable[[#This Row],[Type]]&amp;DiscreteStatsTable[[#This Row],[Source]]</f>
        <v>Unnamed ProjectPartTotal TimeEntity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5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6.2805877424202201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0.53744127250174434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0.66732147921423446</v>
      </c>
      <c r="R9" cm="1">
        <f t="array" ref="R9">MIN(IF((DiscreteStatsTable[GroupByKey]=DiscreteStatsTable[[#This Row],[GroupByKey]]),(DiscreteStatsTable[GroupByKey]=DiscreteStatsTable[[#This Row],[GroupByKey]])*DiscreteStatsTable[Average]))</f>
        <v>5.6189252231018001</v>
      </c>
      <c r="S9" cm="1">
        <f t="array" ref="S9">MAX(IF((DiscreteStatsTable[GroupByKey]=DiscreteStatsTable[[#This Row],[GroupByKey]]),(DiscreteStatsTable[GroupByKey]=DiscreteStatsTable[[#This Row],[GroupByKey]])*DiscreteStatsTable[Average]))</f>
        <v>6.8869765950559803</v>
      </c>
      <c r="T9" cm="1">
        <f t="array" ref="T9">MIN(IF((DiscreteStatsTable[GroupByKey]=DiscreteStatsTable[[#This Row],[GroupByKey]]),(DiscreteStatsTable[GroupByKey]=DiscreteStatsTable[[#This Row],[GroupByKey]])*DiscreteStatsTable[Minimum]))</f>
        <v>1.20224816547654</v>
      </c>
      <c r="U9" cm="1">
        <f t="array" ref="U9">MAX(IF((DiscreteStatsTable[GroupByKey]=DiscreteStatsTable[[#This Row],[GroupByKey]]),(DiscreteStatsTable[GroupByKey]=DiscreteStatsTable[[#This Row],[GroupByKey]])*DiscreteStatsTable[Maximum]))</f>
        <v>67.726619898172203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9">
        <f>IF((DiscreteStatsTable[[#This Row],[RepsRequested]]&gt;1),DiscreteStatsTable[[#This Row],[HalfWidth]],DiscreteStatsTable[[#This Row],[BatchMeansHalfWidth]])</f>
        <v>0.66732147921423446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5</v>
      </c>
      <c r="Y9">
        <f>IF(DiscreteStatsTable[[#This Row],[RepsRequested]]=DiscreteStatsTable[[#This Row],[RepsWithStatObserved]],1,0)</f>
        <v>1</v>
      </c>
    </row>
    <row r="10" spans="1:25" x14ac:dyDescent="0.25">
      <c r="A10" t="s">
        <v>67</v>
      </c>
      <c r="B10" t="s">
        <v>70</v>
      </c>
      <c r="C10">
        <v>1</v>
      </c>
      <c r="D10" t="s">
        <v>74</v>
      </c>
      <c r="E10" t="s">
        <v>79</v>
      </c>
      <c r="F10" t="s">
        <v>76</v>
      </c>
      <c r="G10">
        <v>0</v>
      </c>
      <c r="H10">
        <v>2E+20</v>
      </c>
      <c r="I10">
        <v>0</v>
      </c>
      <c r="J10">
        <v>0</v>
      </c>
      <c r="K10">
        <v>134</v>
      </c>
      <c r="L10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5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0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0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0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0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0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0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10">
        <f>IF((DiscreteStatsTable[[#This Row],[RepsRequested]]&gt;1),DiscreteStatsTable[[#This Row],[HalfWidth]],DiscreteStatsTable[[#This Row],[BatchMeansHalfWidth]])</f>
        <v>0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5</v>
      </c>
      <c r="Y10">
        <f>IF(DiscreteStatsTable[[#This Row],[RepsRequested]]=DiscreteStatsTable[[#This Row],[RepsWithStatObserved]],1,0)</f>
        <v>1</v>
      </c>
    </row>
    <row r="11" spans="1:25" x14ac:dyDescent="0.25">
      <c r="A11" t="s">
        <v>67</v>
      </c>
      <c r="B11" t="s">
        <v>70</v>
      </c>
      <c r="C11">
        <v>1</v>
      </c>
      <c r="D11" t="s">
        <v>74</v>
      </c>
      <c r="E11" t="s">
        <v>80</v>
      </c>
      <c r="F11" t="s">
        <v>76</v>
      </c>
      <c r="G11">
        <v>3.4614623959520299</v>
      </c>
      <c r="H11">
        <v>2E+20</v>
      </c>
      <c r="I11">
        <v>1.1759604867906399</v>
      </c>
      <c r="J11">
        <v>5.7047388640940504</v>
      </c>
      <c r="K11">
        <v>134</v>
      </c>
      <c r="L11" t="str">
        <f>DiscreteStatsTable[[#This Row],[ProjectName]]&amp;DiscreteStatsTable[[#This Row],[Name]]&amp;DiscreteStatsTable[[#This Row],[Type]]&amp;DiscreteStatsTable[[#This Row],[Source]]</f>
        <v>Unnamed ProjectPartVA TimeEntity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5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3.3394188832465082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0.10192456450146606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0.12655606227406777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3.1996238678891298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3.4614623959520299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1.1759604867906399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5.93193265422937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11">
        <f>IF((DiscreteStatsTable[[#This Row],[RepsRequested]]&gt;1),DiscreteStatsTable[[#This Row],[HalfWidth]],DiscreteStatsTable[[#This Row],[BatchMeansHalfWidth]])</f>
        <v>0.12655606227406777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5</v>
      </c>
      <c r="Y11">
        <f>IF(DiscreteStatsTable[[#This Row],[RepsRequested]]=DiscreteStatsTable[[#This Row],[RepsWithStatObserved]],1,0)</f>
        <v>1</v>
      </c>
    </row>
    <row r="12" spans="1:25" x14ac:dyDescent="0.25">
      <c r="A12" t="s">
        <v>67</v>
      </c>
      <c r="B12" t="s">
        <v>70</v>
      </c>
      <c r="C12">
        <v>1</v>
      </c>
      <c r="D12" t="s">
        <v>74</v>
      </c>
      <c r="E12" t="s">
        <v>81</v>
      </c>
      <c r="F12" t="s">
        <v>76</v>
      </c>
      <c r="G12">
        <v>3.4255141991039499</v>
      </c>
      <c r="H12">
        <v>2E+20</v>
      </c>
      <c r="I12">
        <v>0</v>
      </c>
      <c r="J12">
        <v>62.534481130526501</v>
      </c>
      <c r="K12">
        <v>134</v>
      </c>
      <c r="L12" t="str">
        <f>DiscreteStatsTable[[#This Row],[ProjectName]]&amp;DiscreteStatsTable[[#This Row],[Name]]&amp;DiscreteStatsTable[[#This Row],[Type]]&amp;DiscreteStatsTable[[#This Row],[Source]]</f>
        <v>Unnamed ProjectPartWait TimeEntity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5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2.941168859173712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0.47704652691969407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0.59233149794432682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2.2727950110500301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3.4255141991039499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0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62.5362094302236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12">
        <f>IF((DiscreteStatsTable[[#This Row],[RepsRequested]]&gt;1),DiscreteStatsTable[[#This Row],[HalfWidth]],DiscreteStatsTable[[#This Row],[BatchMeansHalfWidth]])</f>
        <v>0.59233149794432682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5</v>
      </c>
      <c r="Y12">
        <f>IF(DiscreteStatsTable[[#This Row],[RepsRequested]]=DiscreteStatsTable[[#This Row],[RepsWithStatObserved]],1,0)</f>
        <v>1</v>
      </c>
    </row>
    <row r="13" spans="1:25" x14ac:dyDescent="0.25">
      <c r="A13" t="s">
        <v>67</v>
      </c>
      <c r="B13" t="s">
        <v>70</v>
      </c>
      <c r="C13">
        <v>2</v>
      </c>
      <c r="D13" t="s">
        <v>74</v>
      </c>
      <c r="E13" t="s">
        <v>75</v>
      </c>
      <c r="F13" t="s">
        <v>76</v>
      </c>
      <c r="G13">
        <v>0</v>
      </c>
      <c r="H13">
        <v>2E+20</v>
      </c>
      <c r="I13">
        <v>0</v>
      </c>
      <c r="J13">
        <v>0</v>
      </c>
      <c r="K13">
        <v>147</v>
      </c>
      <c r="L13" t="str">
        <f>DiscreteStatsTable[[#This Row],[ProjectName]]&amp;DiscreteStatsTable[[#This Row],[Name]]&amp;DiscreteStatsTable[[#This Row],[Type]]&amp;DiscreteStatsTable[[#This Row],[Source]]</f>
        <v>Unnamed ProjectPartNVA TimeEntity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5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0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0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0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0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0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13">
        <f>IF((DiscreteStatsTable[[#This Row],[RepsRequested]]&gt;1),DiscreteStatsTable[[#This Row],[HalfWidth]],DiscreteStatsTable[[#This Row],[BatchMeansHalfWidth]])</f>
        <v>0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5</v>
      </c>
      <c r="Y13">
        <f>IF(DiscreteStatsTable[[#This Row],[RepsRequested]]=DiscreteStatsTable[[#This Row],[RepsWithStatObserved]],1,0)</f>
        <v>1</v>
      </c>
    </row>
    <row r="14" spans="1:25" x14ac:dyDescent="0.25">
      <c r="A14" t="s">
        <v>67</v>
      </c>
      <c r="B14" t="s">
        <v>70</v>
      </c>
      <c r="C14">
        <v>2</v>
      </c>
      <c r="D14" t="s">
        <v>74</v>
      </c>
      <c r="E14" t="s">
        <v>77</v>
      </c>
      <c r="F14" t="s">
        <v>76</v>
      </c>
      <c r="G14">
        <v>0</v>
      </c>
      <c r="H14">
        <v>2E+20</v>
      </c>
      <c r="I14">
        <v>0</v>
      </c>
      <c r="J14">
        <v>0</v>
      </c>
      <c r="K14">
        <v>147</v>
      </c>
      <c r="L14" t="str">
        <f>DiscreteStatsTable[[#This Row],[ProjectName]]&amp;DiscreteStatsTable[[#This Row],[Name]]&amp;DiscreteStatsTable[[#This Row],[Type]]&amp;DiscreteStatsTable[[#This Row],[Source]]</f>
        <v>Unnamed ProjectPartOther TimeEntity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5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0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0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0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14">
        <f>IF((DiscreteStatsTable[[#This Row],[RepsRequested]]&gt;1),DiscreteStatsTable[[#This Row],[HalfWidth]],DiscreteStatsTable[[#This Row],[BatchMeansHalfWidth]])</f>
        <v>0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5</v>
      </c>
      <c r="Y14">
        <f>IF(DiscreteStatsTable[[#This Row],[RepsRequested]]=DiscreteStatsTable[[#This Row],[RepsWithStatObserved]],1,0)</f>
        <v>1</v>
      </c>
    </row>
    <row r="15" spans="1:25" x14ac:dyDescent="0.25">
      <c r="A15" t="s">
        <v>67</v>
      </c>
      <c r="B15" t="s">
        <v>70</v>
      </c>
      <c r="C15">
        <v>2</v>
      </c>
      <c r="D15" t="s">
        <v>74</v>
      </c>
      <c r="E15" t="s">
        <v>78</v>
      </c>
      <c r="F15" t="s">
        <v>76</v>
      </c>
      <c r="G15">
        <v>6.7807481966707499</v>
      </c>
      <c r="H15">
        <v>2E+20</v>
      </c>
      <c r="I15">
        <v>1.5132872749330799</v>
      </c>
      <c r="J15">
        <v>41.507191828126302</v>
      </c>
      <c r="K15">
        <v>147</v>
      </c>
      <c r="L15" t="str">
        <f>DiscreteStatsTable[[#This Row],[ProjectName]]&amp;DiscreteStatsTable[[#This Row],[Name]]&amp;DiscreteStatsTable[[#This Row],[Type]]&amp;DiscreteStatsTable[[#This Row],[Source]]</f>
        <v>Unnamed ProjectPartTotal TimeEntity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5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6.2805877424202201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0.53744127250174434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0.66732147921423446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5.6189252231018001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6.8869765950559803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1.20224816547654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67.726619898172203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15">
        <f>IF((DiscreteStatsTable[[#This Row],[RepsRequested]]&gt;1),DiscreteStatsTable[[#This Row],[HalfWidth]],DiscreteStatsTable[[#This Row],[BatchMeansHalfWidth]])</f>
        <v>0.66732147921423446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5</v>
      </c>
      <c r="Y15">
        <f>IF(DiscreteStatsTable[[#This Row],[RepsRequested]]=DiscreteStatsTable[[#This Row],[RepsWithStatObserved]],1,0)</f>
        <v>1</v>
      </c>
    </row>
    <row r="16" spans="1:25" x14ac:dyDescent="0.25">
      <c r="A16" t="s">
        <v>67</v>
      </c>
      <c r="B16" t="s">
        <v>70</v>
      </c>
      <c r="C16">
        <v>2</v>
      </c>
      <c r="D16" t="s">
        <v>74</v>
      </c>
      <c r="E16" t="s">
        <v>79</v>
      </c>
      <c r="F16" t="s">
        <v>76</v>
      </c>
      <c r="G16">
        <v>0</v>
      </c>
      <c r="H16">
        <v>2E+20</v>
      </c>
      <c r="I16">
        <v>0</v>
      </c>
      <c r="J16">
        <v>0</v>
      </c>
      <c r="K16">
        <v>147</v>
      </c>
      <c r="L16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5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0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0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0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0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0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0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16">
        <f>IF((DiscreteStatsTable[[#This Row],[RepsRequested]]&gt;1),DiscreteStatsTable[[#This Row],[HalfWidth]],DiscreteStatsTable[[#This Row],[BatchMeansHalfWidth]])</f>
        <v>0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5</v>
      </c>
      <c r="Y16">
        <f>IF(DiscreteStatsTable[[#This Row],[RepsRequested]]=DiscreteStatsTable[[#This Row],[RepsWithStatObserved]],1,0)</f>
        <v>1</v>
      </c>
    </row>
    <row r="17" spans="1:25" x14ac:dyDescent="0.25">
      <c r="A17" t="s">
        <v>67</v>
      </c>
      <c r="B17" t="s">
        <v>70</v>
      </c>
      <c r="C17">
        <v>2</v>
      </c>
      <c r="D17" t="s">
        <v>74</v>
      </c>
      <c r="E17" t="s">
        <v>80</v>
      </c>
      <c r="F17" t="s">
        <v>76</v>
      </c>
      <c r="G17">
        <v>3.4041471513163599</v>
      </c>
      <c r="H17">
        <v>2E+20</v>
      </c>
      <c r="I17">
        <v>1.3095160077258501</v>
      </c>
      <c r="J17">
        <v>5.93193265422937</v>
      </c>
      <c r="K17">
        <v>147</v>
      </c>
      <c r="L17" t="str">
        <f>DiscreteStatsTable[[#This Row],[ProjectName]]&amp;DiscreteStatsTable[[#This Row],[Name]]&amp;DiscreteStatsTable[[#This Row],[Type]]&amp;DiscreteStatsTable[[#This Row],[Source]]</f>
        <v>Unnamed ProjectPartVA TimeEntity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5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3.3394188832465082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0.10192456450146606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0.12655606227406777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3.1996238678891298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3.4614623959520299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1.1759604867906399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5.93193265422937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17">
        <f>IF((DiscreteStatsTable[[#This Row],[RepsRequested]]&gt;1),DiscreteStatsTable[[#This Row],[HalfWidth]],DiscreteStatsTable[[#This Row],[BatchMeansHalfWidth]])</f>
        <v>0.12655606227406777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5</v>
      </c>
      <c r="Y17">
        <f>IF(DiscreteStatsTable[[#This Row],[RepsRequested]]=DiscreteStatsTable[[#This Row],[RepsWithStatObserved]],1,0)</f>
        <v>1</v>
      </c>
    </row>
    <row r="18" spans="1:25" x14ac:dyDescent="0.25">
      <c r="A18" t="s">
        <v>67</v>
      </c>
      <c r="B18" t="s">
        <v>70</v>
      </c>
      <c r="C18">
        <v>2</v>
      </c>
      <c r="D18" t="s">
        <v>74</v>
      </c>
      <c r="E18" t="s">
        <v>81</v>
      </c>
      <c r="F18" t="s">
        <v>76</v>
      </c>
      <c r="G18">
        <v>3.37660104535439</v>
      </c>
      <c r="H18">
        <v>2E+20</v>
      </c>
      <c r="I18">
        <v>0</v>
      </c>
      <c r="J18">
        <v>36.5282671287193</v>
      </c>
      <c r="K18">
        <v>147</v>
      </c>
      <c r="L18" t="str">
        <f>DiscreteStatsTable[[#This Row],[ProjectName]]&amp;DiscreteStatsTable[[#This Row],[Name]]&amp;DiscreteStatsTable[[#This Row],[Type]]&amp;DiscreteStatsTable[[#This Row],[Source]]</f>
        <v>Unnamed ProjectPartWait TimeEntity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5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2.941168859173712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0.47704652691969407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0.59233149794432682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2.2727950110500301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3.4255141991039499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0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62.5362094302236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18">
        <f>IF((DiscreteStatsTable[[#This Row],[RepsRequested]]&gt;1),DiscreteStatsTable[[#This Row],[HalfWidth]],DiscreteStatsTable[[#This Row],[BatchMeansHalfWidth]])</f>
        <v>0.59233149794432682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5</v>
      </c>
      <c r="Y18">
        <f>IF(DiscreteStatsTable[[#This Row],[RepsRequested]]=DiscreteStatsTable[[#This Row],[RepsWithStatObserved]],1,0)</f>
        <v>1</v>
      </c>
    </row>
    <row r="19" spans="1:25" x14ac:dyDescent="0.25">
      <c r="A19" t="s">
        <v>67</v>
      </c>
      <c r="B19" t="s">
        <v>70</v>
      </c>
      <c r="C19">
        <v>3</v>
      </c>
      <c r="D19" t="s">
        <v>74</v>
      </c>
      <c r="E19" t="s">
        <v>75</v>
      </c>
      <c r="F19" t="s">
        <v>76</v>
      </c>
      <c r="G19">
        <v>0</v>
      </c>
      <c r="H19">
        <v>2E+20</v>
      </c>
      <c r="I19">
        <v>0</v>
      </c>
      <c r="J19">
        <v>0</v>
      </c>
      <c r="K19">
        <v>163</v>
      </c>
      <c r="L19" t="str">
        <f>DiscreteStatsTable[[#This Row],[ProjectName]]&amp;DiscreteStatsTable[[#This Row],[Name]]&amp;DiscreteStatsTable[[#This Row],[Type]]&amp;DiscreteStatsTable[[#This Row],[Source]]</f>
        <v>Unnamed ProjectPartNVA TimeEntity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5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0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0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0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0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0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19">
        <f>IF((DiscreteStatsTable[[#This Row],[RepsRequested]]&gt;1),DiscreteStatsTable[[#This Row],[HalfWidth]],DiscreteStatsTable[[#This Row],[BatchMeansHalfWidth]])</f>
        <v>0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5</v>
      </c>
      <c r="Y19">
        <f>IF(DiscreteStatsTable[[#This Row],[RepsRequested]]=DiscreteStatsTable[[#This Row],[RepsWithStatObserved]],1,0)</f>
        <v>1</v>
      </c>
    </row>
    <row r="20" spans="1:25" x14ac:dyDescent="0.25">
      <c r="A20" t="s">
        <v>67</v>
      </c>
      <c r="B20" t="s">
        <v>70</v>
      </c>
      <c r="C20">
        <v>3</v>
      </c>
      <c r="D20" t="s">
        <v>74</v>
      </c>
      <c r="E20" t="s">
        <v>77</v>
      </c>
      <c r="F20" t="s">
        <v>76</v>
      </c>
      <c r="G20">
        <v>0</v>
      </c>
      <c r="H20">
        <v>2E+20</v>
      </c>
      <c r="I20">
        <v>0</v>
      </c>
      <c r="J20">
        <v>0</v>
      </c>
      <c r="K20">
        <v>163</v>
      </c>
      <c r="L20" t="str">
        <f>DiscreteStatsTable[[#This Row],[ProjectName]]&amp;DiscreteStatsTable[[#This Row],[Name]]&amp;DiscreteStatsTable[[#This Row],[Type]]&amp;DiscreteStatsTable[[#This Row],[Source]]</f>
        <v>Unnamed ProjectPartOther TimeEntity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5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0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0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0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0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0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20">
        <f>IF((DiscreteStatsTable[[#This Row],[RepsRequested]]&gt;1),DiscreteStatsTable[[#This Row],[HalfWidth]],DiscreteStatsTable[[#This Row],[BatchMeansHalfWidth]])</f>
        <v>0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5</v>
      </c>
      <c r="Y20">
        <f>IF(DiscreteStatsTable[[#This Row],[RepsRequested]]=DiscreteStatsTable[[#This Row],[RepsWithStatObserved]],1,0)</f>
        <v>1</v>
      </c>
    </row>
    <row r="21" spans="1:25" x14ac:dyDescent="0.25">
      <c r="A21" t="s">
        <v>67</v>
      </c>
      <c r="B21" t="s">
        <v>70</v>
      </c>
      <c r="C21">
        <v>3</v>
      </c>
      <c r="D21" t="s">
        <v>74</v>
      </c>
      <c r="E21" t="s">
        <v>78</v>
      </c>
      <c r="F21" t="s">
        <v>76</v>
      </c>
      <c r="G21">
        <v>6.0388421647036497</v>
      </c>
      <c r="H21">
        <v>2E+20</v>
      </c>
      <c r="I21">
        <v>1.20224816547654</v>
      </c>
      <c r="J21">
        <v>44.5979717118121</v>
      </c>
      <c r="K21">
        <v>163</v>
      </c>
      <c r="L21" t="str">
        <f>DiscreteStatsTable[[#This Row],[ProjectName]]&amp;DiscreteStatsTable[[#This Row],[Name]]&amp;DiscreteStatsTable[[#This Row],[Type]]&amp;DiscreteStatsTable[[#This Row],[Source]]</f>
        <v>Unnamed ProjectPartTotal TimeEntity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5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6.2805877424202201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0.53744127250174434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0.66732147921423446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5.6189252231018001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6.8869765950559803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1.20224816547654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67.726619898172203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21">
        <f>IF((DiscreteStatsTable[[#This Row],[RepsRequested]]&gt;1),DiscreteStatsTable[[#This Row],[HalfWidth]],DiscreteStatsTable[[#This Row],[BatchMeansHalfWidth]])</f>
        <v>0.66732147921423446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5</v>
      </c>
      <c r="Y21">
        <f>IF(DiscreteStatsTable[[#This Row],[RepsRequested]]=DiscreteStatsTable[[#This Row],[RepsWithStatObserved]],1,0)</f>
        <v>1</v>
      </c>
    </row>
    <row r="22" spans="1:25" x14ac:dyDescent="0.25">
      <c r="A22" t="s">
        <v>67</v>
      </c>
      <c r="B22" t="s">
        <v>70</v>
      </c>
      <c r="C22">
        <v>3</v>
      </c>
      <c r="D22" t="s">
        <v>74</v>
      </c>
      <c r="E22" t="s">
        <v>79</v>
      </c>
      <c r="F22" t="s">
        <v>76</v>
      </c>
      <c r="G22">
        <v>0</v>
      </c>
      <c r="H22">
        <v>2E+20</v>
      </c>
      <c r="I22">
        <v>0</v>
      </c>
      <c r="J22">
        <v>0</v>
      </c>
      <c r="K22">
        <v>163</v>
      </c>
      <c r="L22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5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0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0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0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0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0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0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22">
        <f>IF((DiscreteStatsTable[[#This Row],[RepsRequested]]&gt;1),DiscreteStatsTable[[#This Row],[HalfWidth]],DiscreteStatsTable[[#This Row],[BatchMeansHalfWidth]])</f>
        <v>0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5</v>
      </c>
      <c r="Y22">
        <f>IF(DiscreteStatsTable[[#This Row],[RepsRequested]]=DiscreteStatsTable[[#This Row],[RepsWithStatObserved]],1,0)</f>
        <v>1</v>
      </c>
    </row>
    <row r="23" spans="1:25" x14ac:dyDescent="0.25">
      <c r="A23" t="s">
        <v>67</v>
      </c>
      <c r="B23" t="s">
        <v>70</v>
      </c>
      <c r="C23">
        <v>3</v>
      </c>
      <c r="D23" t="s">
        <v>74</v>
      </c>
      <c r="E23" t="s">
        <v>80</v>
      </c>
      <c r="F23" t="s">
        <v>76</v>
      </c>
      <c r="G23">
        <v>3.2857307890232401</v>
      </c>
      <c r="H23">
        <v>2E+20</v>
      </c>
      <c r="I23">
        <v>1.20224816547654</v>
      </c>
      <c r="J23">
        <v>5.87560159263501</v>
      </c>
      <c r="K23">
        <v>163</v>
      </c>
      <c r="L23" t="str">
        <f>DiscreteStatsTable[[#This Row],[ProjectName]]&amp;DiscreteStatsTable[[#This Row],[Name]]&amp;DiscreteStatsTable[[#This Row],[Type]]&amp;DiscreteStatsTable[[#This Row],[Source]]</f>
        <v>Unnamed ProjectPartVA TimeEntity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5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3.3394188832465082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0.10192456450146606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0.12655606227406777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3.1996238678891298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3.4614623959520299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1.1759604867906399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5.93193265422937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23">
        <f>IF((DiscreteStatsTable[[#This Row],[RepsRequested]]&gt;1),DiscreteStatsTable[[#This Row],[HalfWidth]],DiscreteStatsTable[[#This Row],[BatchMeansHalfWidth]])</f>
        <v>0.12655606227406777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5</v>
      </c>
      <c r="Y23">
        <f>IF(DiscreteStatsTable[[#This Row],[RepsRequested]]=DiscreteStatsTable[[#This Row],[RepsWithStatObserved]],1,0)</f>
        <v>1</v>
      </c>
    </row>
    <row r="24" spans="1:25" x14ac:dyDescent="0.25">
      <c r="A24" t="s">
        <v>67</v>
      </c>
      <c r="B24" t="s">
        <v>70</v>
      </c>
      <c r="C24">
        <v>3</v>
      </c>
      <c r="D24" t="s">
        <v>74</v>
      </c>
      <c r="E24" t="s">
        <v>81</v>
      </c>
      <c r="F24" t="s">
        <v>76</v>
      </c>
      <c r="G24">
        <v>2.75311137568041</v>
      </c>
      <c r="H24">
        <v>2E+20</v>
      </c>
      <c r="I24">
        <v>0</v>
      </c>
      <c r="J24">
        <v>39.4682262463771</v>
      </c>
      <c r="K24">
        <v>163</v>
      </c>
      <c r="L24" t="str">
        <f>DiscreteStatsTable[[#This Row],[ProjectName]]&amp;DiscreteStatsTable[[#This Row],[Name]]&amp;DiscreteStatsTable[[#This Row],[Type]]&amp;DiscreteStatsTable[[#This Row],[Source]]</f>
        <v>Unnamed ProjectPartWait TimeEntity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5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2.941168859173712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0.47704652691969407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0.59233149794432682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2.2727950110500301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3.4255141991039499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0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62.5362094302236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24">
        <f>IF((DiscreteStatsTable[[#This Row],[RepsRequested]]&gt;1),DiscreteStatsTable[[#This Row],[HalfWidth]],DiscreteStatsTable[[#This Row],[BatchMeansHalfWidth]])</f>
        <v>0.59233149794432682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5</v>
      </c>
      <c r="Y24">
        <f>IF(DiscreteStatsTable[[#This Row],[RepsRequested]]=DiscreteStatsTable[[#This Row],[RepsWithStatObserved]],1,0)</f>
        <v>1</v>
      </c>
    </row>
    <row r="25" spans="1:25" x14ac:dyDescent="0.25">
      <c r="A25" t="s">
        <v>67</v>
      </c>
      <c r="B25" t="s">
        <v>70</v>
      </c>
      <c r="C25">
        <v>4</v>
      </c>
      <c r="D25" t="s">
        <v>74</v>
      </c>
      <c r="E25" t="s">
        <v>75</v>
      </c>
      <c r="F25" t="s">
        <v>76</v>
      </c>
      <c r="G25">
        <v>0</v>
      </c>
      <c r="H25">
        <v>2E+20</v>
      </c>
      <c r="I25">
        <v>0</v>
      </c>
      <c r="J25">
        <v>0</v>
      </c>
      <c r="K25">
        <v>150</v>
      </c>
      <c r="L25" t="str">
        <f>DiscreteStatsTable[[#This Row],[ProjectName]]&amp;DiscreteStatsTable[[#This Row],[Name]]&amp;DiscreteStatsTable[[#This Row],[Type]]&amp;DiscreteStatsTable[[#This Row],[Source]]</f>
        <v>Unnamed ProjectPartNVA TimeEntity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5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0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0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0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0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0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25">
        <f>IF((DiscreteStatsTable[[#This Row],[RepsRequested]]&gt;1),DiscreteStatsTable[[#This Row],[HalfWidth]],DiscreteStatsTable[[#This Row],[BatchMeansHalfWidth]])</f>
        <v>0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5</v>
      </c>
      <c r="Y25">
        <f>IF(DiscreteStatsTable[[#This Row],[RepsRequested]]=DiscreteStatsTable[[#This Row],[RepsWithStatObserved]],1,0)</f>
        <v>1</v>
      </c>
    </row>
    <row r="26" spans="1:25" x14ac:dyDescent="0.25">
      <c r="A26" t="s">
        <v>67</v>
      </c>
      <c r="B26" t="s">
        <v>70</v>
      </c>
      <c r="C26">
        <v>4</v>
      </c>
      <c r="D26" t="s">
        <v>74</v>
      </c>
      <c r="E26" t="s">
        <v>77</v>
      </c>
      <c r="F26" t="s">
        <v>76</v>
      </c>
      <c r="G26">
        <v>0</v>
      </c>
      <c r="H26">
        <v>2E+20</v>
      </c>
      <c r="I26">
        <v>0</v>
      </c>
      <c r="J26">
        <v>0</v>
      </c>
      <c r="K26">
        <v>150</v>
      </c>
      <c r="L26" t="str">
        <f>DiscreteStatsTable[[#This Row],[ProjectName]]&amp;DiscreteStatsTable[[#This Row],[Name]]&amp;DiscreteStatsTable[[#This Row],[Type]]&amp;DiscreteStatsTable[[#This Row],[Source]]</f>
        <v>Unnamed ProjectPartOther TimeEntity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5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0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0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0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0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0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26">
        <f>IF((DiscreteStatsTable[[#This Row],[RepsRequested]]&gt;1),DiscreteStatsTable[[#This Row],[HalfWidth]],DiscreteStatsTable[[#This Row],[BatchMeansHalfWidth]])</f>
        <v>0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5</v>
      </c>
      <c r="Y26">
        <f>IF(DiscreteStatsTable[[#This Row],[RepsRequested]]=DiscreteStatsTable[[#This Row],[RepsWithStatObserved]],1,0)</f>
        <v>1</v>
      </c>
    </row>
    <row r="27" spans="1:25" x14ac:dyDescent="0.25">
      <c r="A27" t="s">
        <v>67</v>
      </c>
      <c r="B27" t="s">
        <v>70</v>
      </c>
      <c r="C27">
        <v>4</v>
      </c>
      <c r="D27" t="s">
        <v>74</v>
      </c>
      <c r="E27" t="s">
        <v>78</v>
      </c>
      <c r="F27" t="s">
        <v>76</v>
      </c>
      <c r="G27">
        <v>5.6189252231018001</v>
      </c>
      <c r="H27">
        <v>2E+20</v>
      </c>
      <c r="I27">
        <v>1.2139916806486899</v>
      </c>
      <c r="J27">
        <v>31.8568474655657</v>
      </c>
      <c r="K27">
        <v>150</v>
      </c>
      <c r="L27" t="str">
        <f>DiscreteStatsTable[[#This Row],[ProjectName]]&amp;DiscreteStatsTable[[#This Row],[Name]]&amp;DiscreteStatsTable[[#This Row],[Type]]&amp;DiscreteStatsTable[[#This Row],[Source]]</f>
        <v>Unnamed ProjectPartTotal TimeEntity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5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6.2805877424202201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0.53744127250174434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0.66732147921423446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5.6189252231018001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6.8869765950559803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1.20224816547654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67.726619898172203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27">
        <f>IF((DiscreteStatsTable[[#This Row],[RepsRequested]]&gt;1),DiscreteStatsTable[[#This Row],[HalfWidth]],DiscreteStatsTable[[#This Row],[BatchMeansHalfWidth]])</f>
        <v>0.66732147921423446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5</v>
      </c>
      <c r="Y27">
        <f>IF(DiscreteStatsTable[[#This Row],[RepsRequested]]=DiscreteStatsTable[[#This Row],[RepsWithStatObserved]],1,0)</f>
        <v>1</v>
      </c>
    </row>
    <row r="28" spans="1:25" x14ac:dyDescent="0.25">
      <c r="A28" t="s">
        <v>67</v>
      </c>
      <c r="B28" t="s">
        <v>70</v>
      </c>
      <c r="C28">
        <v>4</v>
      </c>
      <c r="D28" t="s">
        <v>74</v>
      </c>
      <c r="E28" t="s">
        <v>79</v>
      </c>
      <c r="F28" t="s">
        <v>76</v>
      </c>
      <c r="G28">
        <v>0</v>
      </c>
      <c r="H28">
        <v>2E+20</v>
      </c>
      <c r="I28">
        <v>0</v>
      </c>
      <c r="J28">
        <v>0</v>
      </c>
      <c r="K28">
        <v>150</v>
      </c>
      <c r="L28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5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0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0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0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0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0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0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28">
        <f>IF((DiscreteStatsTable[[#This Row],[RepsRequested]]&gt;1),DiscreteStatsTable[[#This Row],[HalfWidth]],DiscreteStatsTable[[#This Row],[BatchMeansHalfWidth]])</f>
        <v>0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5</v>
      </c>
      <c r="Y28">
        <f>IF(DiscreteStatsTable[[#This Row],[RepsRequested]]=DiscreteStatsTable[[#This Row],[RepsWithStatObserved]],1,0)</f>
        <v>1</v>
      </c>
    </row>
    <row r="29" spans="1:25" x14ac:dyDescent="0.25">
      <c r="A29" t="s">
        <v>67</v>
      </c>
      <c r="B29" t="s">
        <v>70</v>
      </c>
      <c r="C29">
        <v>4</v>
      </c>
      <c r="D29" t="s">
        <v>74</v>
      </c>
      <c r="E29" t="s">
        <v>80</v>
      </c>
      <c r="F29" t="s">
        <v>76</v>
      </c>
      <c r="G29">
        <v>3.3461302120517802</v>
      </c>
      <c r="H29">
        <v>2E+20</v>
      </c>
      <c r="I29">
        <v>1.2139916806486899</v>
      </c>
      <c r="J29">
        <v>5.7165605109972599</v>
      </c>
      <c r="K29">
        <v>150</v>
      </c>
      <c r="L29" t="str">
        <f>DiscreteStatsTable[[#This Row],[ProjectName]]&amp;DiscreteStatsTable[[#This Row],[Name]]&amp;DiscreteStatsTable[[#This Row],[Type]]&amp;DiscreteStatsTable[[#This Row],[Source]]</f>
        <v>Unnamed ProjectPartVA TimeEntity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5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3.3394188832465082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0.10192456450146606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0.12655606227406777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3.1996238678891298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3.4614623959520299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1.1759604867906399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5.93193265422937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29">
        <f>IF((DiscreteStatsTable[[#This Row],[RepsRequested]]&gt;1),DiscreteStatsTable[[#This Row],[HalfWidth]],DiscreteStatsTable[[#This Row],[BatchMeansHalfWidth]])</f>
        <v>0.12655606227406777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5</v>
      </c>
      <c r="Y29">
        <f>IF(DiscreteStatsTable[[#This Row],[RepsRequested]]=DiscreteStatsTable[[#This Row],[RepsWithStatObserved]],1,0)</f>
        <v>1</v>
      </c>
    </row>
    <row r="30" spans="1:25" x14ac:dyDescent="0.25">
      <c r="A30" t="s">
        <v>67</v>
      </c>
      <c r="B30" t="s">
        <v>70</v>
      </c>
      <c r="C30">
        <v>4</v>
      </c>
      <c r="D30" t="s">
        <v>74</v>
      </c>
      <c r="E30" t="s">
        <v>81</v>
      </c>
      <c r="F30" t="s">
        <v>76</v>
      </c>
      <c r="G30">
        <v>2.2727950110500301</v>
      </c>
      <c r="H30">
        <v>2E+20</v>
      </c>
      <c r="I30">
        <v>0</v>
      </c>
      <c r="J30">
        <v>26.168643753909699</v>
      </c>
      <c r="K30">
        <v>150</v>
      </c>
      <c r="L30" t="str">
        <f>DiscreteStatsTable[[#This Row],[ProjectName]]&amp;DiscreteStatsTable[[#This Row],[Name]]&amp;DiscreteStatsTable[[#This Row],[Type]]&amp;DiscreteStatsTable[[#This Row],[Source]]</f>
        <v>Unnamed ProjectPartWait TimeEntity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5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2.941168859173712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0.47704652691969407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0.59233149794432682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2.2727950110500301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3.4255141991039499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0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62.5362094302236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30">
        <f>IF((DiscreteStatsTable[[#This Row],[RepsRequested]]&gt;1),DiscreteStatsTable[[#This Row],[HalfWidth]],DiscreteStatsTable[[#This Row],[BatchMeansHalfWidth]])</f>
        <v>0.59233149794432682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5</v>
      </c>
      <c r="Y30">
        <f>IF(DiscreteStatsTable[[#This Row],[RepsRequested]]=DiscreteStatsTable[[#This Row],[RepsWithStatObserved]],1,0)</f>
        <v>1</v>
      </c>
    </row>
    <row r="31" spans="1:25" x14ac:dyDescent="0.25">
      <c r="A31" t="s">
        <v>67</v>
      </c>
      <c r="B31" t="s">
        <v>70</v>
      </c>
      <c r="C31">
        <v>5</v>
      </c>
      <c r="D31" t="s">
        <v>74</v>
      </c>
      <c r="E31" t="s">
        <v>75</v>
      </c>
      <c r="F31" t="s">
        <v>76</v>
      </c>
      <c r="G31">
        <v>0</v>
      </c>
      <c r="H31">
        <v>2E+20</v>
      </c>
      <c r="I31">
        <v>0</v>
      </c>
      <c r="J31">
        <v>0</v>
      </c>
      <c r="K31">
        <v>160</v>
      </c>
      <c r="L31" t="str">
        <f>DiscreteStatsTable[[#This Row],[ProjectName]]&amp;DiscreteStatsTable[[#This Row],[Name]]&amp;DiscreteStatsTable[[#This Row],[Type]]&amp;DiscreteStatsTable[[#This Row],[Source]]</f>
        <v>Unnamed ProjectPartNVA TimeEntity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5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0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0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0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0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0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0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31">
        <f>IF((DiscreteStatsTable[[#This Row],[RepsRequested]]&gt;1),DiscreteStatsTable[[#This Row],[HalfWidth]],DiscreteStatsTable[[#This Row],[BatchMeansHalfWidth]])</f>
        <v>0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5</v>
      </c>
      <c r="Y31">
        <f>IF(DiscreteStatsTable[[#This Row],[RepsRequested]]=DiscreteStatsTable[[#This Row],[RepsWithStatObserved]],1,0)</f>
        <v>1</v>
      </c>
    </row>
    <row r="32" spans="1:25" x14ac:dyDescent="0.25">
      <c r="A32" t="s">
        <v>67</v>
      </c>
      <c r="B32" t="s">
        <v>70</v>
      </c>
      <c r="C32">
        <v>5</v>
      </c>
      <c r="D32" t="s">
        <v>74</v>
      </c>
      <c r="E32" t="s">
        <v>77</v>
      </c>
      <c r="F32" t="s">
        <v>76</v>
      </c>
      <c r="G32">
        <v>0</v>
      </c>
      <c r="H32">
        <v>2E+20</v>
      </c>
      <c r="I32">
        <v>0</v>
      </c>
      <c r="J32">
        <v>0</v>
      </c>
      <c r="K32">
        <v>160</v>
      </c>
      <c r="L32" t="str">
        <f>DiscreteStatsTable[[#This Row],[ProjectName]]&amp;DiscreteStatsTable[[#This Row],[Name]]&amp;DiscreteStatsTable[[#This Row],[Type]]&amp;DiscreteStatsTable[[#This Row],[Source]]</f>
        <v>Unnamed ProjectPartOther TimeEntity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5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0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0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0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0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0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0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32">
        <f>IF((DiscreteStatsTable[[#This Row],[RepsRequested]]&gt;1),DiscreteStatsTable[[#This Row],[HalfWidth]],DiscreteStatsTable[[#This Row],[BatchMeansHalfWidth]])</f>
        <v>0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5</v>
      </c>
      <c r="Y32">
        <f>IF(DiscreteStatsTable[[#This Row],[RepsRequested]]=DiscreteStatsTable[[#This Row],[RepsWithStatObserved]],1,0)</f>
        <v>1</v>
      </c>
    </row>
    <row r="33" spans="1:25" x14ac:dyDescent="0.25">
      <c r="A33" t="s">
        <v>67</v>
      </c>
      <c r="B33" t="s">
        <v>70</v>
      </c>
      <c r="C33">
        <v>5</v>
      </c>
      <c r="D33" t="s">
        <v>74</v>
      </c>
      <c r="E33" t="s">
        <v>78</v>
      </c>
      <c r="F33" t="s">
        <v>76</v>
      </c>
      <c r="G33">
        <v>6.0774465325689198</v>
      </c>
      <c r="H33">
        <v>2E+20</v>
      </c>
      <c r="I33">
        <v>1.22324648767889</v>
      </c>
      <c r="J33">
        <v>67.612493401856796</v>
      </c>
      <c r="K33">
        <v>160</v>
      </c>
      <c r="L33" t="str">
        <f>DiscreteStatsTable[[#This Row],[ProjectName]]&amp;DiscreteStatsTable[[#This Row],[Name]]&amp;DiscreteStatsTable[[#This Row],[Type]]&amp;DiscreteStatsTable[[#This Row],[Source]]</f>
        <v>Unnamed ProjectPartTotal TimeEntity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5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6.2805877424202201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0.53744127250174434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0.66732147921423446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5.6189252231018001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6.8869765950559803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1.20224816547654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67.726619898172203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33">
        <f>IF((DiscreteStatsTable[[#This Row],[RepsRequested]]&gt;1),DiscreteStatsTable[[#This Row],[HalfWidth]],DiscreteStatsTable[[#This Row],[BatchMeansHalfWidth]])</f>
        <v>0.66732147921423446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5</v>
      </c>
      <c r="Y33">
        <f>IF(DiscreteStatsTable[[#This Row],[RepsRequested]]=DiscreteStatsTable[[#This Row],[RepsWithStatObserved]],1,0)</f>
        <v>1</v>
      </c>
    </row>
    <row r="34" spans="1:25" x14ac:dyDescent="0.25">
      <c r="A34" t="s">
        <v>67</v>
      </c>
      <c r="B34" t="s">
        <v>70</v>
      </c>
      <c r="C34">
        <v>5</v>
      </c>
      <c r="D34" t="s">
        <v>74</v>
      </c>
      <c r="E34" t="s">
        <v>79</v>
      </c>
      <c r="F34" t="s">
        <v>76</v>
      </c>
      <c r="G34">
        <v>0</v>
      </c>
      <c r="H34">
        <v>2E+20</v>
      </c>
      <c r="I34">
        <v>0</v>
      </c>
      <c r="J34">
        <v>0</v>
      </c>
      <c r="K34">
        <v>160</v>
      </c>
      <c r="L34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5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0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0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0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0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0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0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34">
        <f>IF((DiscreteStatsTable[[#This Row],[RepsRequested]]&gt;1),DiscreteStatsTable[[#This Row],[HalfWidth]],DiscreteStatsTable[[#This Row],[BatchMeansHalfWidth]])</f>
        <v>0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5</v>
      </c>
      <c r="Y34">
        <f>IF(DiscreteStatsTable[[#This Row],[RepsRequested]]=DiscreteStatsTable[[#This Row],[RepsWithStatObserved]],1,0)</f>
        <v>1</v>
      </c>
    </row>
    <row r="35" spans="1:25" x14ac:dyDescent="0.25">
      <c r="A35" t="s">
        <v>67</v>
      </c>
      <c r="B35" t="s">
        <v>70</v>
      </c>
      <c r="C35">
        <v>5</v>
      </c>
      <c r="D35" t="s">
        <v>74</v>
      </c>
      <c r="E35" t="s">
        <v>80</v>
      </c>
      <c r="F35" t="s">
        <v>76</v>
      </c>
      <c r="G35">
        <v>3.1996238678891298</v>
      </c>
      <c r="H35">
        <v>2E+20</v>
      </c>
      <c r="I35">
        <v>1.22324648767889</v>
      </c>
      <c r="J35">
        <v>5.7533987200526999</v>
      </c>
      <c r="K35">
        <v>160</v>
      </c>
      <c r="L35" t="str">
        <f>DiscreteStatsTable[[#This Row],[ProjectName]]&amp;DiscreteStatsTable[[#This Row],[Name]]&amp;DiscreteStatsTable[[#This Row],[Type]]&amp;DiscreteStatsTable[[#This Row],[Source]]</f>
        <v>Unnamed ProjectPartVA TimeEntity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5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3.3394188832465082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0.10192456450146606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0.12655606227406777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3.1996238678891298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3.4614623959520299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1.1759604867906399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5.93193265422937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35">
        <f>IF((DiscreteStatsTable[[#This Row],[RepsRequested]]&gt;1),DiscreteStatsTable[[#This Row],[HalfWidth]],DiscreteStatsTable[[#This Row],[BatchMeansHalfWidth]])</f>
        <v>0.12655606227406777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5</v>
      </c>
      <c r="Y35">
        <f>IF(DiscreteStatsTable[[#This Row],[RepsRequested]]=DiscreteStatsTable[[#This Row],[RepsWithStatObserved]],1,0)</f>
        <v>1</v>
      </c>
    </row>
    <row r="36" spans="1:25" x14ac:dyDescent="0.25">
      <c r="A36" t="s">
        <v>67</v>
      </c>
      <c r="B36" t="s">
        <v>70</v>
      </c>
      <c r="C36">
        <v>5</v>
      </c>
      <c r="D36" t="s">
        <v>74</v>
      </c>
      <c r="E36" t="s">
        <v>81</v>
      </c>
      <c r="F36" t="s">
        <v>76</v>
      </c>
      <c r="G36">
        <v>2.8778226646797802</v>
      </c>
      <c r="H36">
        <v>2E+20</v>
      </c>
      <c r="I36">
        <v>0</v>
      </c>
      <c r="J36">
        <v>62.5362094302236</v>
      </c>
      <c r="K36">
        <v>160</v>
      </c>
      <c r="L36" t="str">
        <f>DiscreteStatsTable[[#This Row],[ProjectName]]&amp;DiscreteStatsTable[[#This Row],[Name]]&amp;DiscreteStatsTable[[#This Row],[Type]]&amp;DiscreteStatsTable[[#This Row],[Source]]</f>
        <v>Unnamed ProjectPartWait TimeEntity</v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5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2.941168859173712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0.47704652691969407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0.59233149794432682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2.2727950110500301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3.4255141991039499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0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62.5362094302236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36">
        <f>IF((DiscreteStatsTable[[#This Row],[RepsRequested]]&gt;1),DiscreteStatsTable[[#This Row],[HalfWidth]],DiscreteStatsTable[[#This Row],[BatchMeansHalfWidth]])</f>
        <v>0.59233149794432682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5</v>
      </c>
      <c r="Y36">
        <f>IF(DiscreteStatsTable[[#This Row],[RepsRequested]]=DiscreteStatsTable[[#This Row],[RepsWithStatObserved]],1,0)</f>
        <v>1</v>
      </c>
    </row>
  </sheetData>
  <phoneticPr fontId="2" type="noConversion"/>
  <conditionalFormatting sqref="H2:H36 Q2:Q36">
    <cfRule type="expression" dxfId="20" priority="23">
      <formula>H2=200000000000000000000</formula>
    </cfRule>
  </conditionalFormatting>
  <conditionalFormatting sqref="H2:H36">
    <cfRule type="expression" dxfId="19" priority="21">
      <formula>H2=300000000000000000000</formula>
    </cfRule>
  </conditionalFormatting>
  <conditionalFormatting sqref="L2:Y36">
    <cfRule type="expression" dxfId="18" priority="19">
      <formula>MOD(ROW(),2)=0</formula>
    </cfRule>
  </conditionalFormatting>
  <conditionalFormatting sqref="Y2:Y36">
    <cfRule type="expression" dxfId="17" priority="14">
      <formula>Y2=0</formula>
    </cfRule>
    <cfRule type="expression" dxfId="16" priority="16">
      <formula>Y2=1</formula>
    </cfRule>
  </conditionalFormatting>
  <conditionalFormatting sqref="Y3:Y36">
    <cfRule type="expression" dxfId="15" priority="15">
      <formula>Y3=1</formula>
    </cfRule>
  </conditionalFormatting>
  <conditionalFormatting sqref="W2:W36">
    <cfRule type="expression" dxfId="14" priority="6">
      <formula>W2=300000000000000000000</formula>
    </cfRule>
    <cfRule type="expression" dxfId="13" priority="7">
      <formula>W2=200000000000000000000</formula>
    </cfRule>
  </conditionalFormatting>
  <conditionalFormatting sqref="Q2:Q36 W2:W36">
    <cfRule type="expression" dxfId="1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26"/>
  <sheetViews>
    <sheetView workbookViewId="0">
      <selection activeCell="A2" sqref="A2:L11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20.42578125" bestFit="1" customWidth="1"/>
    <col min="5" max="5" width="23.5703125" bestFit="1" customWidth="1"/>
    <col min="6" max="6" width="9.2851562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0.5703125" bestFit="1" customWidth="1"/>
    <col min="12" max="12" width="12" bestFit="1" customWidth="1"/>
    <col min="13" max="13" width="57.5703125" bestFit="1" customWidth="1"/>
    <col min="14" max="14" width="17.28515625" bestFit="1" customWidth="1"/>
    <col min="15" max="15" width="20.28515625" bestFit="1" customWidth="1"/>
    <col min="16" max="16" width="18" bestFit="1" customWidth="1"/>
    <col min="17" max="17" width="20.5703125" bestFit="1" customWidth="1"/>
    <col min="18" max="18" width="12.42578125" bestFit="1" customWidth="1"/>
    <col min="19" max="19" width="19.5703125" bestFit="1" customWidth="1"/>
    <col min="20" max="20" width="19.85546875" bestFit="1" customWidth="1"/>
    <col min="21" max="21" width="21" bestFit="1" customWidth="1"/>
    <col min="22" max="22" width="20" bestFit="1" customWidth="1"/>
  </cols>
  <sheetData>
    <row r="1" spans="1:21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66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25">
      <c r="A2" t="s">
        <v>67</v>
      </c>
      <c r="B2" t="s">
        <v>70</v>
      </c>
      <c r="C2">
        <v>1</v>
      </c>
      <c r="D2" t="s">
        <v>82</v>
      </c>
      <c r="E2" t="s">
        <v>83</v>
      </c>
      <c r="F2" t="s">
        <v>84</v>
      </c>
      <c r="G2">
        <v>0.64421661257995999</v>
      </c>
      <c r="H2">
        <v>2E+20</v>
      </c>
      <c r="I2">
        <v>0</v>
      </c>
      <c r="J2">
        <v>1</v>
      </c>
      <c r="K2">
        <v>0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ProjectDrill pressInstantaneous UtilizationResource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5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0.69887379983755582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3.5921507178221228E-2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4.4602442224415374E-2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0.64421661257995999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0.74385294251498302</v>
      </c>
      <c r="U2">
        <f>IF((ContinuousStatsTable[[#This Row],[RepsRequested]]&gt;1),ContinuousStatsTable[[#This Row],[HalfWidth]],ContinuousStatsTable[[#This Row],[BatchMeansHalfWidth]])</f>
        <v>4.4602442224415374E-2</v>
      </c>
    </row>
    <row r="3" spans="1:21" x14ac:dyDescent="0.25">
      <c r="A3" t="s">
        <v>67</v>
      </c>
      <c r="B3" t="s">
        <v>70</v>
      </c>
      <c r="C3">
        <v>1</v>
      </c>
      <c r="D3" t="s">
        <v>82</v>
      </c>
      <c r="E3" t="s">
        <v>85</v>
      </c>
      <c r="F3" t="s">
        <v>84</v>
      </c>
      <c r="G3">
        <v>0.64421661257995999</v>
      </c>
      <c r="H3">
        <v>2E+20</v>
      </c>
      <c r="I3">
        <v>0</v>
      </c>
      <c r="J3">
        <v>1</v>
      </c>
      <c r="K3">
        <v>0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ProjectDrill pressNumber BusyResource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5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0.69887379983755582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3.5921507178221228E-2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4.4602442224415374E-2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0.64421661257995999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0.74385294251498302</v>
      </c>
      <c r="U3">
        <f>IF((ContinuousStatsTable[[#This Row],[RepsRequested]]&gt;1),ContinuousStatsTable[[#This Row],[HalfWidth]],ContinuousStatsTable[[#This Row],[BatchMeansHalfWidth]])</f>
        <v>4.4602442224415374E-2</v>
      </c>
    </row>
    <row r="4" spans="1:21" x14ac:dyDescent="0.25">
      <c r="A4" t="s">
        <v>67</v>
      </c>
      <c r="B4" t="s">
        <v>70</v>
      </c>
      <c r="C4">
        <v>1</v>
      </c>
      <c r="D4" t="s">
        <v>82</v>
      </c>
      <c r="E4" t="s">
        <v>86</v>
      </c>
      <c r="F4" t="s">
        <v>84</v>
      </c>
      <c r="G4">
        <v>1</v>
      </c>
      <c r="H4">
        <v>2E+20</v>
      </c>
      <c r="I4">
        <v>1</v>
      </c>
      <c r="J4">
        <v>1</v>
      </c>
      <c r="K4">
        <v>1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ProjectDrill pressNumber ScheduledResource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5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1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1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1</v>
      </c>
      <c r="U4">
        <f>IF((ContinuousStatsTable[[#This Row],[RepsRequested]]&gt;1),ContinuousStatsTable[[#This Row],[HalfWidth]],ContinuousStatsTable[[#This Row],[BatchMeansHalfWidth]])</f>
        <v>0</v>
      </c>
    </row>
    <row r="5" spans="1:21" x14ac:dyDescent="0.25">
      <c r="A5" t="s">
        <v>67</v>
      </c>
      <c r="B5" t="s">
        <v>70</v>
      </c>
      <c r="C5">
        <v>1</v>
      </c>
      <c r="D5" t="s">
        <v>71</v>
      </c>
      <c r="E5" t="s">
        <v>87</v>
      </c>
      <c r="F5" t="s">
        <v>73</v>
      </c>
      <c r="G5">
        <v>0.63752625372212401</v>
      </c>
      <c r="H5">
        <v>2E+20</v>
      </c>
      <c r="I5">
        <v>0</v>
      </c>
      <c r="J5">
        <v>5</v>
      </c>
      <c r="K5">
        <v>0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ProjectDrilling center.QueueNumber WaitingQueue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5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0.61285553562621375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8.1252260258171893E-2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0.10088800633525449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0.47457207128148898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0.68938938009318795</v>
      </c>
      <c r="U5">
        <f>IF((ContinuousStatsTable[[#This Row],[RepsRequested]]&gt;1),ContinuousStatsTable[[#This Row],[HalfWidth]],ContinuousStatsTable[[#This Row],[BatchMeansHalfWidth]])</f>
        <v>0.10088800633525449</v>
      </c>
    </row>
    <row r="6" spans="1:21" x14ac:dyDescent="0.25">
      <c r="A6" t="s">
        <v>67</v>
      </c>
      <c r="B6" t="s">
        <v>70</v>
      </c>
      <c r="C6">
        <v>1</v>
      </c>
      <c r="D6" t="s">
        <v>74</v>
      </c>
      <c r="E6" t="s">
        <v>88</v>
      </c>
      <c r="F6" t="s">
        <v>76</v>
      </c>
      <c r="G6">
        <v>1.28174286630209</v>
      </c>
      <c r="H6">
        <v>2E+20</v>
      </c>
      <c r="I6">
        <v>0</v>
      </c>
      <c r="J6">
        <v>6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ProjectPartWIPEntity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5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1.31172933546377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8.7622848041526383E-2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0.10879813583324249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1.17197377359665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1.3872595956732801</v>
      </c>
      <c r="U6">
        <f>IF((ContinuousStatsTable[[#This Row],[RepsRequested]]&gt;1),ContinuousStatsTable[[#This Row],[HalfWidth]],ContinuousStatsTable[[#This Row],[BatchMeansHalfWidth]])</f>
        <v>0.10879813583324249</v>
      </c>
    </row>
    <row r="7" spans="1:21" x14ac:dyDescent="0.25">
      <c r="A7" t="s">
        <v>67</v>
      </c>
      <c r="B7" t="s">
        <v>70</v>
      </c>
      <c r="C7">
        <v>2</v>
      </c>
      <c r="D7" t="s">
        <v>82</v>
      </c>
      <c r="E7" t="s">
        <v>83</v>
      </c>
      <c r="F7" t="s">
        <v>84</v>
      </c>
      <c r="G7">
        <v>0.69787021558009399</v>
      </c>
      <c r="H7">
        <v>2E+20</v>
      </c>
      <c r="I7">
        <v>0</v>
      </c>
      <c r="J7">
        <v>1</v>
      </c>
      <c r="K7">
        <v>1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ProjectDrill pressInstantaneous UtilizationResource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5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0.69887379983755582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3.5921507178221228E-2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4.4602442224415374E-2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0.64421661257995999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0.74385294251498302</v>
      </c>
      <c r="U7">
        <f>IF((ContinuousStatsTable[[#This Row],[RepsRequested]]&gt;1),ContinuousStatsTable[[#This Row],[HalfWidth]],ContinuousStatsTable[[#This Row],[BatchMeansHalfWidth]])</f>
        <v>4.4602442224415374E-2</v>
      </c>
    </row>
    <row r="8" spans="1:21" x14ac:dyDescent="0.25">
      <c r="A8" t="s">
        <v>67</v>
      </c>
      <c r="B8" t="s">
        <v>70</v>
      </c>
      <c r="C8">
        <v>2</v>
      </c>
      <c r="D8" t="s">
        <v>82</v>
      </c>
      <c r="E8" t="s">
        <v>85</v>
      </c>
      <c r="F8" t="s">
        <v>84</v>
      </c>
      <c r="G8">
        <v>0.69787021558009399</v>
      </c>
      <c r="H8">
        <v>2E+20</v>
      </c>
      <c r="I8">
        <v>0</v>
      </c>
      <c r="J8">
        <v>1</v>
      </c>
      <c r="K8">
        <v>1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ProjectDrill pressNumber BusyResource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5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0.69887379983755582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3.5921507178221228E-2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4.4602442224415374E-2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0.64421661257995999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0.74385294251498302</v>
      </c>
      <c r="U8">
        <f>IF((ContinuousStatsTable[[#This Row],[RepsRequested]]&gt;1),ContinuousStatsTable[[#This Row],[HalfWidth]],ContinuousStatsTable[[#This Row],[BatchMeansHalfWidth]])</f>
        <v>4.4602442224415374E-2</v>
      </c>
    </row>
    <row r="9" spans="1:21" x14ac:dyDescent="0.25">
      <c r="A9" t="s">
        <v>67</v>
      </c>
      <c r="B9" t="s">
        <v>70</v>
      </c>
      <c r="C9">
        <v>2</v>
      </c>
      <c r="D9" t="s">
        <v>82</v>
      </c>
      <c r="E9" t="s">
        <v>86</v>
      </c>
      <c r="F9" t="s">
        <v>84</v>
      </c>
      <c r="G9">
        <v>1</v>
      </c>
      <c r="H9">
        <v>2E+20</v>
      </c>
      <c r="I9">
        <v>1</v>
      </c>
      <c r="J9">
        <v>1</v>
      </c>
      <c r="K9">
        <v>1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ProjectDrill pressNumber ScheduledResource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5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1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0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1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1</v>
      </c>
      <c r="U9">
        <f>IF((ContinuousStatsTable[[#This Row],[RepsRequested]]&gt;1),ContinuousStatsTable[[#This Row],[HalfWidth]],ContinuousStatsTable[[#This Row],[BatchMeansHalfWidth]])</f>
        <v>0</v>
      </c>
    </row>
    <row r="10" spans="1:21" x14ac:dyDescent="0.25">
      <c r="A10" t="s">
        <v>67</v>
      </c>
      <c r="B10" t="s">
        <v>70</v>
      </c>
      <c r="C10">
        <v>2</v>
      </c>
      <c r="D10" t="s">
        <v>71</v>
      </c>
      <c r="E10" t="s">
        <v>87</v>
      </c>
      <c r="F10" t="s">
        <v>73</v>
      </c>
      <c r="G10">
        <v>0.68938938009318795</v>
      </c>
      <c r="H10">
        <v>2E+20</v>
      </c>
      <c r="I10">
        <v>0</v>
      </c>
      <c r="J10">
        <v>4</v>
      </c>
      <c r="K10">
        <v>0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ProjectDrilling center.QueueNumber WaitingQueue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5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0.61285553562621375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8.1252260258171893E-2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0.10088800633525449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0.47457207128148898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0.68938938009318795</v>
      </c>
      <c r="U10">
        <f>IF((ContinuousStatsTable[[#This Row],[RepsRequested]]&gt;1),ContinuousStatsTable[[#This Row],[HalfWidth]],ContinuousStatsTable[[#This Row],[BatchMeansHalfWidth]])</f>
        <v>0.10088800633525449</v>
      </c>
    </row>
    <row r="11" spans="1:21" x14ac:dyDescent="0.25">
      <c r="A11" t="s">
        <v>67</v>
      </c>
      <c r="B11" t="s">
        <v>70</v>
      </c>
      <c r="C11">
        <v>2</v>
      </c>
      <c r="D11" t="s">
        <v>74</v>
      </c>
      <c r="E11" t="s">
        <v>88</v>
      </c>
      <c r="F11" t="s">
        <v>76</v>
      </c>
      <c r="G11">
        <v>1.3872595956732801</v>
      </c>
      <c r="H11">
        <v>2E+20</v>
      </c>
      <c r="I11">
        <v>0</v>
      </c>
      <c r="J11">
        <v>5</v>
      </c>
      <c r="K11">
        <v>1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ProjectPartWIPEntity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5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1.31172933546377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8.7622848041526383E-2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0.10879813583324249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1.17197377359665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1.3872595956732801</v>
      </c>
      <c r="U11">
        <f>IF((ContinuousStatsTable[[#This Row],[RepsRequested]]&gt;1),ContinuousStatsTable[[#This Row],[HalfWidth]],ContinuousStatsTable[[#This Row],[BatchMeansHalfWidth]])</f>
        <v>0.10879813583324249</v>
      </c>
    </row>
    <row r="12" spans="1:21" x14ac:dyDescent="0.25">
      <c r="A12" t="s">
        <v>67</v>
      </c>
      <c r="B12" t="s">
        <v>70</v>
      </c>
      <c r="C12">
        <v>3</v>
      </c>
      <c r="D12" t="s">
        <v>82</v>
      </c>
      <c r="E12" t="s">
        <v>83</v>
      </c>
      <c r="F12" t="s">
        <v>84</v>
      </c>
      <c r="G12">
        <v>0.74385294251498302</v>
      </c>
      <c r="H12">
        <v>2E+20</v>
      </c>
      <c r="I12">
        <v>0</v>
      </c>
      <c r="J12">
        <v>1</v>
      </c>
      <c r="K12">
        <v>0</v>
      </c>
      <c r="L12">
        <v>0</v>
      </c>
      <c r="M12" s="5" t="str">
        <f>ContinuousStatsTable[[#This Row],[ProjectName]]&amp;ContinuousStatsTable[[#This Row],[Name]]&amp;ContinuousStatsTable[[#This Row],[Type]]&amp;ContinuousStatsTable[[#This Row],[Source]]</f>
        <v>Unnamed ProjectDrill pressInstantaneous UtilizationResource</v>
      </c>
      <c r="N12" s="5" cm="1">
        <f t="array" ref="N12">MAX(IF((ProjectInfoTable[ProjectName]=ContinuousStatsTable[[#This Row],[ProjectName]]),(ProjectInfoTable[ProjectName]=ContinuousStatsTable[[#This Row],[ProjectName]])*ProjectInfoTable[NumberOfReplications]))</f>
        <v>5</v>
      </c>
      <c r="O12" s="5" cm="1">
        <f t="array" ref="O12">IFERROR(AVERAGE(IF((ContinuousStatsTable[GroupByKey]=ContinuousStatsTable[[#This Row],[GroupByKey]]),(ContinuousStatsTable[GroupByKey]=ContinuousStatsTable[[#This Row],[GroupByKey]])*ContinuousStatsTable[Average])),0)</f>
        <v>0.69887379983755582</v>
      </c>
      <c r="P12" s="5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3.5921507178221228E-2</v>
      </c>
      <c r="Q12" s="5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4.4602442224415374E-2</v>
      </c>
      <c r="S12" s="5" cm="1">
        <f t="array" ref="S12">MIN(IF((ContinuousStatsTable[GroupByKey]=ContinuousStatsTable[[#This Row],[GroupByKey]]),(ContinuousStatsTable[GroupByKey]=ContinuousStatsTable[[#This Row],[GroupByKey]])*ContinuousStatsTable[Average]))</f>
        <v>0.64421661257995999</v>
      </c>
      <c r="T12" s="5" cm="1">
        <f t="array" ref="T12">MAX(IF((ContinuousStatsTable[GroupByKey]=ContinuousStatsTable[[#This Row],[GroupByKey]]),(ContinuousStatsTable[GroupByKey]=ContinuousStatsTable[[#This Row],[GroupByKey]])*ContinuousStatsTable[Average]))</f>
        <v>0.74385294251498302</v>
      </c>
      <c r="U12" s="5">
        <f>IF((ContinuousStatsTable[[#This Row],[RepsRequested]]&gt;1),ContinuousStatsTable[[#This Row],[HalfWidth]],ContinuousStatsTable[[#This Row],[BatchMeansHalfWidth]])</f>
        <v>4.4602442224415374E-2</v>
      </c>
    </row>
    <row r="13" spans="1:21" x14ac:dyDescent="0.25">
      <c r="A13" t="s">
        <v>67</v>
      </c>
      <c r="B13" t="s">
        <v>70</v>
      </c>
      <c r="C13">
        <v>3</v>
      </c>
      <c r="D13" t="s">
        <v>82</v>
      </c>
      <c r="E13" t="s">
        <v>85</v>
      </c>
      <c r="F13" t="s">
        <v>84</v>
      </c>
      <c r="G13">
        <v>0.74385294251498302</v>
      </c>
      <c r="H13">
        <v>2E+20</v>
      </c>
      <c r="I13">
        <v>0</v>
      </c>
      <c r="J13">
        <v>1</v>
      </c>
      <c r="K13">
        <v>0</v>
      </c>
      <c r="L13">
        <v>0</v>
      </c>
      <c r="M13" s="5" t="str">
        <f>ContinuousStatsTable[[#This Row],[ProjectName]]&amp;ContinuousStatsTable[[#This Row],[Name]]&amp;ContinuousStatsTable[[#This Row],[Type]]&amp;ContinuousStatsTable[[#This Row],[Source]]</f>
        <v>Unnamed ProjectDrill pressNumber BusyResource</v>
      </c>
      <c r="N13" s="5" cm="1">
        <f t="array" ref="N13">MAX(IF((ProjectInfoTable[ProjectName]=ContinuousStatsTable[[#This Row],[ProjectName]]),(ProjectInfoTable[ProjectName]=ContinuousStatsTable[[#This Row],[ProjectName]])*ProjectInfoTable[NumberOfReplications]))</f>
        <v>5</v>
      </c>
      <c r="O13" s="5" cm="1">
        <f t="array" ref="O13">IFERROR(AVERAGE(IF((ContinuousStatsTable[GroupByKey]=ContinuousStatsTable[[#This Row],[GroupByKey]]),(ContinuousStatsTable[GroupByKey]=ContinuousStatsTable[[#This Row],[GroupByKey]])*ContinuousStatsTable[Average])),0)</f>
        <v>0.69887379983755582</v>
      </c>
      <c r="P13" s="5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3.5921507178221228E-2</v>
      </c>
      <c r="Q13" s="5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4.4602442224415374E-2</v>
      </c>
      <c r="S13" s="5" cm="1">
        <f t="array" ref="S13">MIN(IF((ContinuousStatsTable[GroupByKey]=ContinuousStatsTable[[#This Row],[GroupByKey]]),(ContinuousStatsTable[GroupByKey]=ContinuousStatsTable[[#This Row],[GroupByKey]])*ContinuousStatsTable[Average]))</f>
        <v>0.64421661257995999</v>
      </c>
      <c r="T13" s="5" cm="1">
        <f t="array" ref="T13">MAX(IF((ContinuousStatsTable[GroupByKey]=ContinuousStatsTable[[#This Row],[GroupByKey]]),(ContinuousStatsTable[GroupByKey]=ContinuousStatsTable[[#This Row],[GroupByKey]])*ContinuousStatsTable[Average]))</f>
        <v>0.74385294251498302</v>
      </c>
      <c r="U13" s="5">
        <f>IF((ContinuousStatsTable[[#This Row],[RepsRequested]]&gt;1),ContinuousStatsTable[[#This Row],[HalfWidth]],ContinuousStatsTable[[#This Row],[BatchMeansHalfWidth]])</f>
        <v>4.4602442224415374E-2</v>
      </c>
    </row>
    <row r="14" spans="1:21" x14ac:dyDescent="0.25">
      <c r="A14" t="s">
        <v>67</v>
      </c>
      <c r="B14" t="s">
        <v>70</v>
      </c>
      <c r="C14">
        <v>3</v>
      </c>
      <c r="D14" t="s">
        <v>82</v>
      </c>
      <c r="E14" t="s">
        <v>86</v>
      </c>
      <c r="F14" t="s">
        <v>84</v>
      </c>
      <c r="G14">
        <v>1</v>
      </c>
      <c r="H14">
        <v>2E+20</v>
      </c>
      <c r="I14">
        <v>1</v>
      </c>
      <c r="J14">
        <v>1</v>
      </c>
      <c r="K14">
        <v>1</v>
      </c>
      <c r="L14">
        <v>0</v>
      </c>
      <c r="M14" s="5" t="str">
        <f>ContinuousStatsTable[[#This Row],[ProjectName]]&amp;ContinuousStatsTable[[#This Row],[Name]]&amp;ContinuousStatsTable[[#This Row],[Type]]&amp;ContinuousStatsTable[[#This Row],[Source]]</f>
        <v>Unnamed ProjectDrill pressNumber ScheduledResource</v>
      </c>
      <c r="N14" s="5" cm="1">
        <f t="array" ref="N14">MAX(IF((ProjectInfoTable[ProjectName]=ContinuousStatsTable[[#This Row],[ProjectName]]),(ProjectInfoTable[ProjectName]=ContinuousStatsTable[[#This Row],[ProjectName]])*ProjectInfoTable[NumberOfReplications]))</f>
        <v>5</v>
      </c>
      <c r="O14" s="5" cm="1">
        <f t="array" ref="O14">IFERROR(AVERAGE(IF((ContinuousStatsTable[GroupByKey]=ContinuousStatsTable[[#This Row],[GroupByKey]]),(ContinuousStatsTable[GroupByKey]=ContinuousStatsTable[[#This Row],[GroupByKey]])*ContinuousStatsTable[Average])),0)</f>
        <v>1</v>
      </c>
      <c r="P14" s="5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0</v>
      </c>
      <c r="Q14" s="5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" s="5" cm="1">
        <f t="array" ref="S14">MIN(IF((ContinuousStatsTable[GroupByKey]=ContinuousStatsTable[[#This Row],[GroupByKey]]),(ContinuousStatsTable[GroupByKey]=ContinuousStatsTable[[#This Row],[GroupByKey]])*ContinuousStatsTable[Average]))</f>
        <v>1</v>
      </c>
      <c r="T14" s="5" cm="1">
        <f t="array" ref="T14">MAX(IF((ContinuousStatsTable[GroupByKey]=ContinuousStatsTable[[#This Row],[GroupByKey]]),(ContinuousStatsTable[GroupByKey]=ContinuousStatsTable[[#This Row],[GroupByKey]])*ContinuousStatsTable[Average]))</f>
        <v>1</v>
      </c>
      <c r="U14" s="5">
        <f>IF((ContinuousStatsTable[[#This Row],[RepsRequested]]&gt;1),ContinuousStatsTable[[#This Row],[HalfWidth]],ContinuousStatsTable[[#This Row],[BatchMeansHalfWidth]])</f>
        <v>0</v>
      </c>
    </row>
    <row r="15" spans="1:21" x14ac:dyDescent="0.25">
      <c r="A15" t="s">
        <v>67</v>
      </c>
      <c r="B15" t="s">
        <v>70</v>
      </c>
      <c r="C15">
        <v>3</v>
      </c>
      <c r="D15" t="s">
        <v>71</v>
      </c>
      <c r="E15" t="s">
        <v>87</v>
      </c>
      <c r="F15" t="s">
        <v>73</v>
      </c>
      <c r="G15">
        <v>0.62327382532764997</v>
      </c>
      <c r="H15">
        <v>2E+20</v>
      </c>
      <c r="I15">
        <v>0</v>
      </c>
      <c r="J15">
        <v>6</v>
      </c>
      <c r="K15">
        <v>0</v>
      </c>
      <c r="L15">
        <v>0</v>
      </c>
      <c r="M15" s="5" t="str">
        <f>ContinuousStatsTable[[#This Row],[ProjectName]]&amp;ContinuousStatsTable[[#This Row],[Name]]&amp;ContinuousStatsTable[[#This Row],[Type]]&amp;ContinuousStatsTable[[#This Row],[Source]]</f>
        <v>Unnamed ProjectDrilling center.QueueNumber WaitingQueue</v>
      </c>
      <c r="N15" s="5" cm="1">
        <f t="array" ref="N15">MAX(IF((ProjectInfoTable[ProjectName]=ContinuousStatsTable[[#This Row],[ProjectName]]),(ProjectInfoTable[ProjectName]=ContinuousStatsTable[[#This Row],[ProjectName]])*ProjectInfoTable[NumberOfReplications]))</f>
        <v>5</v>
      </c>
      <c r="O15" s="5" cm="1">
        <f t="array" ref="O15">IFERROR(AVERAGE(IF((ContinuousStatsTable[GroupByKey]=ContinuousStatsTable[[#This Row],[GroupByKey]]),(ContinuousStatsTable[GroupByKey]=ContinuousStatsTable[[#This Row],[GroupByKey]])*ContinuousStatsTable[Average])),0)</f>
        <v>0.61285553562621375</v>
      </c>
      <c r="P15" s="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8.1252260258171893E-2</v>
      </c>
      <c r="Q15" s="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0.10088800633525449</v>
      </c>
      <c r="S15" s="5" cm="1">
        <f t="array" ref="S15">MIN(IF((ContinuousStatsTable[GroupByKey]=ContinuousStatsTable[[#This Row],[GroupByKey]]),(ContinuousStatsTable[GroupByKey]=ContinuousStatsTable[[#This Row],[GroupByKey]])*ContinuousStatsTable[Average]))</f>
        <v>0.47457207128148898</v>
      </c>
      <c r="T15" s="5" cm="1">
        <f t="array" ref="T15">MAX(IF((ContinuousStatsTable[GroupByKey]=ContinuousStatsTable[[#This Row],[GroupByKey]]),(ContinuousStatsTable[GroupByKey]=ContinuousStatsTable[[#This Row],[GroupByKey]])*ContinuousStatsTable[Average]))</f>
        <v>0.68938938009318795</v>
      </c>
      <c r="U15" s="5">
        <f>IF((ContinuousStatsTable[[#This Row],[RepsRequested]]&gt;1),ContinuousStatsTable[[#This Row],[HalfWidth]],ContinuousStatsTable[[#This Row],[BatchMeansHalfWidth]])</f>
        <v>0.10088800633525449</v>
      </c>
    </row>
    <row r="16" spans="1:21" x14ac:dyDescent="0.25">
      <c r="A16" t="s">
        <v>67</v>
      </c>
      <c r="B16" t="s">
        <v>70</v>
      </c>
      <c r="C16">
        <v>3</v>
      </c>
      <c r="D16" t="s">
        <v>74</v>
      </c>
      <c r="E16" t="s">
        <v>88</v>
      </c>
      <c r="F16" t="s">
        <v>76</v>
      </c>
      <c r="G16">
        <v>1.36712676784263</v>
      </c>
      <c r="H16">
        <v>0.38845211228335702</v>
      </c>
      <c r="I16">
        <v>0</v>
      </c>
      <c r="J16">
        <v>7</v>
      </c>
      <c r="K16">
        <v>0</v>
      </c>
      <c r="L16">
        <v>0</v>
      </c>
      <c r="M16" s="5" t="str">
        <f>ContinuousStatsTable[[#This Row],[ProjectName]]&amp;ContinuousStatsTable[[#This Row],[Name]]&amp;ContinuousStatsTable[[#This Row],[Type]]&amp;ContinuousStatsTable[[#This Row],[Source]]</f>
        <v>Unnamed ProjectPartWIPEntity</v>
      </c>
      <c r="N16" s="5" cm="1">
        <f t="array" ref="N16">MAX(IF((ProjectInfoTable[ProjectName]=ContinuousStatsTable[[#This Row],[ProjectName]]),(ProjectInfoTable[ProjectName]=ContinuousStatsTable[[#This Row],[ProjectName]])*ProjectInfoTable[NumberOfReplications]))</f>
        <v>5</v>
      </c>
      <c r="O16" s="5" cm="1">
        <f t="array" ref="O16">IFERROR(AVERAGE(IF((ContinuousStatsTable[GroupByKey]=ContinuousStatsTable[[#This Row],[GroupByKey]]),(ContinuousStatsTable[GroupByKey]=ContinuousStatsTable[[#This Row],[GroupByKey]])*ContinuousStatsTable[Average])),0)</f>
        <v>1.31172933546377</v>
      </c>
      <c r="P16" s="5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8.7622848041526383E-2</v>
      </c>
      <c r="Q16" s="5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0.10879813583324249</v>
      </c>
      <c r="S16" s="5" cm="1">
        <f t="array" ref="S16">MIN(IF((ContinuousStatsTable[GroupByKey]=ContinuousStatsTable[[#This Row],[GroupByKey]]),(ContinuousStatsTable[GroupByKey]=ContinuousStatsTable[[#This Row],[GroupByKey]])*ContinuousStatsTable[Average]))</f>
        <v>1.17197377359665</v>
      </c>
      <c r="T16" s="5" cm="1">
        <f t="array" ref="T16">MAX(IF((ContinuousStatsTable[GroupByKey]=ContinuousStatsTable[[#This Row],[GroupByKey]]),(ContinuousStatsTable[GroupByKey]=ContinuousStatsTable[[#This Row],[GroupByKey]])*ContinuousStatsTable[Average]))</f>
        <v>1.3872595956732801</v>
      </c>
      <c r="U16" s="5">
        <f>IF((ContinuousStatsTable[[#This Row],[RepsRequested]]&gt;1),ContinuousStatsTable[[#This Row],[HalfWidth]],ContinuousStatsTable[[#This Row],[BatchMeansHalfWidth]])</f>
        <v>0.10879813583324249</v>
      </c>
    </row>
    <row r="17" spans="1:21" x14ac:dyDescent="0.25">
      <c r="A17" t="s">
        <v>67</v>
      </c>
      <c r="B17" t="s">
        <v>70</v>
      </c>
      <c r="C17">
        <v>4</v>
      </c>
      <c r="D17" t="s">
        <v>82</v>
      </c>
      <c r="E17" t="s">
        <v>83</v>
      </c>
      <c r="F17" t="s">
        <v>84</v>
      </c>
      <c r="G17">
        <v>0.69740170231515697</v>
      </c>
      <c r="H17">
        <v>2E+20</v>
      </c>
      <c r="I17">
        <v>0</v>
      </c>
      <c r="J17">
        <v>1</v>
      </c>
      <c r="K17">
        <v>1</v>
      </c>
      <c r="L17">
        <v>0</v>
      </c>
      <c r="M17" s="5" t="str">
        <f>ContinuousStatsTable[[#This Row],[ProjectName]]&amp;ContinuousStatsTable[[#This Row],[Name]]&amp;ContinuousStatsTable[[#This Row],[Type]]&amp;ContinuousStatsTable[[#This Row],[Source]]</f>
        <v>Unnamed ProjectDrill pressInstantaneous UtilizationResource</v>
      </c>
      <c r="N17" s="5" cm="1">
        <f t="array" ref="N17">MAX(IF((ProjectInfoTable[ProjectName]=ContinuousStatsTable[[#This Row],[ProjectName]]),(ProjectInfoTable[ProjectName]=ContinuousStatsTable[[#This Row],[ProjectName]])*ProjectInfoTable[NumberOfReplications]))</f>
        <v>5</v>
      </c>
      <c r="O17" s="5" cm="1">
        <f t="array" ref="O17">IFERROR(AVERAGE(IF((ContinuousStatsTable[GroupByKey]=ContinuousStatsTable[[#This Row],[GroupByKey]]),(ContinuousStatsTable[GroupByKey]=ContinuousStatsTable[[#This Row],[GroupByKey]])*ContinuousStatsTable[Average])),0)</f>
        <v>0.69887379983755582</v>
      </c>
      <c r="P17" s="5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3.5921507178221228E-2</v>
      </c>
      <c r="Q17" s="5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4.4602442224415374E-2</v>
      </c>
      <c r="S17" s="5" cm="1">
        <f t="array" ref="S17">MIN(IF((ContinuousStatsTable[GroupByKey]=ContinuousStatsTable[[#This Row],[GroupByKey]]),(ContinuousStatsTable[GroupByKey]=ContinuousStatsTable[[#This Row],[GroupByKey]])*ContinuousStatsTable[Average]))</f>
        <v>0.64421661257995999</v>
      </c>
      <c r="T17" s="5" cm="1">
        <f t="array" ref="T17">MAX(IF((ContinuousStatsTable[GroupByKey]=ContinuousStatsTable[[#This Row],[GroupByKey]]),(ContinuousStatsTable[GroupByKey]=ContinuousStatsTable[[#This Row],[GroupByKey]])*ContinuousStatsTable[Average]))</f>
        <v>0.74385294251498302</v>
      </c>
      <c r="U17" s="5">
        <f>IF((ContinuousStatsTable[[#This Row],[RepsRequested]]&gt;1),ContinuousStatsTable[[#This Row],[HalfWidth]],ContinuousStatsTable[[#This Row],[BatchMeansHalfWidth]])</f>
        <v>4.4602442224415374E-2</v>
      </c>
    </row>
    <row r="18" spans="1:21" x14ac:dyDescent="0.25">
      <c r="A18" t="s">
        <v>67</v>
      </c>
      <c r="B18" t="s">
        <v>70</v>
      </c>
      <c r="C18">
        <v>4</v>
      </c>
      <c r="D18" t="s">
        <v>82</v>
      </c>
      <c r="E18" t="s">
        <v>85</v>
      </c>
      <c r="F18" t="s">
        <v>84</v>
      </c>
      <c r="G18">
        <v>0.69740170231515697</v>
      </c>
      <c r="H18">
        <v>2E+20</v>
      </c>
      <c r="I18">
        <v>0</v>
      </c>
      <c r="J18">
        <v>1</v>
      </c>
      <c r="K18">
        <v>1</v>
      </c>
      <c r="L18">
        <v>0</v>
      </c>
      <c r="M18" s="5" t="str">
        <f>ContinuousStatsTable[[#This Row],[ProjectName]]&amp;ContinuousStatsTable[[#This Row],[Name]]&amp;ContinuousStatsTable[[#This Row],[Type]]&amp;ContinuousStatsTable[[#This Row],[Source]]</f>
        <v>Unnamed ProjectDrill pressNumber BusyResource</v>
      </c>
      <c r="N18" s="5" cm="1">
        <f t="array" ref="N18">MAX(IF((ProjectInfoTable[ProjectName]=ContinuousStatsTable[[#This Row],[ProjectName]]),(ProjectInfoTable[ProjectName]=ContinuousStatsTable[[#This Row],[ProjectName]])*ProjectInfoTable[NumberOfReplications]))</f>
        <v>5</v>
      </c>
      <c r="O18" s="5" cm="1">
        <f t="array" ref="O18">IFERROR(AVERAGE(IF((ContinuousStatsTable[GroupByKey]=ContinuousStatsTable[[#This Row],[GroupByKey]]),(ContinuousStatsTable[GroupByKey]=ContinuousStatsTable[[#This Row],[GroupByKey]])*ContinuousStatsTable[Average])),0)</f>
        <v>0.69887379983755582</v>
      </c>
      <c r="P18" s="5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3.5921507178221228E-2</v>
      </c>
      <c r="Q18" s="5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4.4602442224415374E-2</v>
      </c>
      <c r="S18" s="5" cm="1">
        <f t="array" ref="S18">MIN(IF((ContinuousStatsTable[GroupByKey]=ContinuousStatsTable[[#This Row],[GroupByKey]]),(ContinuousStatsTable[GroupByKey]=ContinuousStatsTable[[#This Row],[GroupByKey]])*ContinuousStatsTable[Average]))</f>
        <v>0.64421661257995999</v>
      </c>
      <c r="T18" s="5" cm="1">
        <f t="array" ref="T18">MAX(IF((ContinuousStatsTable[GroupByKey]=ContinuousStatsTable[[#This Row],[GroupByKey]]),(ContinuousStatsTable[GroupByKey]=ContinuousStatsTable[[#This Row],[GroupByKey]])*ContinuousStatsTable[Average]))</f>
        <v>0.74385294251498302</v>
      </c>
      <c r="U18" s="5">
        <f>IF((ContinuousStatsTable[[#This Row],[RepsRequested]]&gt;1),ContinuousStatsTable[[#This Row],[HalfWidth]],ContinuousStatsTable[[#This Row],[BatchMeansHalfWidth]])</f>
        <v>4.4602442224415374E-2</v>
      </c>
    </row>
    <row r="19" spans="1:21" x14ac:dyDescent="0.25">
      <c r="A19" t="s">
        <v>67</v>
      </c>
      <c r="B19" t="s">
        <v>70</v>
      </c>
      <c r="C19">
        <v>4</v>
      </c>
      <c r="D19" t="s">
        <v>82</v>
      </c>
      <c r="E19" t="s">
        <v>86</v>
      </c>
      <c r="F19" t="s">
        <v>84</v>
      </c>
      <c r="G19">
        <v>1</v>
      </c>
      <c r="H19">
        <v>2E+20</v>
      </c>
      <c r="I19">
        <v>1</v>
      </c>
      <c r="J19">
        <v>1</v>
      </c>
      <c r="K19">
        <v>1</v>
      </c>
      <c r="L19">
        <v>0</v>
      </c>
      <c r="M19" s="5" t="str">
        <f>ContinuousStatsTable[[#This Row],[ProjectName]]&amp;ContinuousStatsTable[[#This Row],[Name]]&amp;ContinuousStatsTable[[#This Row],[Type]]&amp;ContinuousStatsTable[[#This Row],[Source]]</f>
        <v>Unnamed ProjectDrill pressNumber ScheduledResource</v>
      </c>
      <c r="N19" s="5" cm="1">
        <f t="array" ref="N19">MAX(IF((ProjectInfoTable[ProjectName]=ContinuousStatsTable[[#This Row],[ProjectName]]),(ProjectInfoTable[ProjectName]=ContinuousStatsTable[[#This Row],[ProjectName]])*ProjectInfoTable[NumberOfReplications]))</f>
        <v>5</v>
      </c>
      <c r="O19" s="5" cm="1">
        <f t="array" ref="O19">IFERROR(AVERAGE(IF((ContinuousStatsTable[GroupByKey]=ContinuousStatsTable[[#This Row],[GroupByKey]]),(ContinuousStatsTable[GroupByKey]=ContinuousStatsTable[[#This Row],[GroupByKey]])*ContinuousStatsTable[Average])),0)</f>
        <v>1</v>
      </c>
      <c r="P19" s="5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0</v>
      </c>
      <c r="Q19" s="5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" s="5" cm="1">
        <f t="array" ref="S19">MIN(IF((ContinuousStatsTable[GroupByKey]=ContinuousStatsTable[[#This Row],[GroupByKey]]),(ContinuousStatsTable[GroupByKey]=ContinuousStatsTable[[#This Row],[GroupByKey]])*ContinuousStatsTable[Average]))</f>
        <v>1</v>
      </c>
      <c r="T19" s="5" cm="1">
        <f t="array" ref="T19">MAX(IF((ContinuousStatsTable[GroupByKey]=ContinuousStatsTable[[#This Row],[GroupByKey]]),(ContinuousStatsTable[GroupByKey]=ContinuousStatsTable[[#This Row],[GroupByKey]])*ContinuousStatsTable[Average]))</f>
        <v>1</v>
      </c>
      <c r="U19" s="5">
        <f>IF((ContinuousStatsTable[[#This Row],[RepsRequested]]&gt;1),ContinuousStatsTable[[#This Row],[HalfWidth]],ContinuousStatsTable[[#This Row],[BatchMeansHalfWidth]])</f>
        <v>0</v>
      </c>
    </row>
    <row r="20" spans="1:21" x14ac:dyDescent="0.25">
      <c r="A20" t="s">
        <v>67</v>
      </c>
      <c r="B20" t="s">
        <v>70</v>
      </c>
      <c r="C20">
        <v>4</v>
      </c>
      <c r="D20" t="s">
        <v>71</v>
      </c>
      <c r="E20" t="s">
        <v>87</v>
      </c>
      <c r="F20" t="s">
        <v>73</v>
      </c>
      <c r="G20">
        <v>0.47457207128148898</v>
      </c>
      <c r="H20">
        <v>2E+20</v>
      </c>
      <c r="I20">
        <v>0</v>
      </c>
      <c r="J20">
        <v>4</v>
      </c>
      <c r="K20">
        <v>0</v>
      </c>
      <c r="L20">
        <v>0</v>
      </c>
      <c r="M20" s="5" t="str">
        <f>ContinuousStatsTable[[#This Row],[ProjectName]]&amp;ContinuousStatsTable[[#This Row],[Name]]&amp;ContinuousStatsTable[[#This Row],[Type]]&amp;ContinuousStatsTable[[#This Row],[Source]]</f>
        <v>Unnamed ProjectDrilling center.QueueNumber WaitingQueue</v>
      </c>
      <c r="N20" s="5" cm="1">
        <f t="array" ref="N20">MAX(IF((ProjectInfoTable[ProjectName]=ContinuousStatsTable[[#This Row],[ProjectName]]),(ProjectInfoTable[ProjectName]=ContinuousStatsTable[[#This Row],[ProjectName]])*ProjectInfoTable[NumberOfReplications]))</f>
        <v>5</v>
      </c>
      <c r="O20" s="5" cm="1">
        <f t="array" ref="O20">IFERROR(AVERAGE(IF((ContinuousStatsTable[GroupByKey]=ContinuousStatsTable[[#This Row],[GroupByKey]]),(ContinuousStatsTable[GroupByKey]=ContinuousStatsTable[[#This Row],[GroupByKey]])*ContinuousStatsTable[Average])),0)</f>
        <v>0.61285553562621375</v>
      </c>
      <c r="P20" s="5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8.1252260258171893E-2</v>
      </c>
      <c r="Q20" s="5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0.10088800633525449</v>
      </c>
      <c r="S20" s="5" cm="1">
        <f t="array" ref="S20">MIN(IF((ContinuousStatsTable[GroupByKey]=ContinuousStatsTable[[#This Row],[GroupByKey]]),(ContinuousStatsTable[GroupByKey]=ContinuousStatsTable[[#This Row],[GroupByKey]])*ContinuousStatsTable[Average]))</f>
        <v>0.47457207128148898</v>
      </c>
      <c r="T20" s="5" cm="1">
        <f t="array" ref="T20">MAX(IF((ContinuousStatsTable[GroupByKey]=ContinuousStatsTable[[#This Row],[GroupByKey]]),(ContinuousStatsTable[GroupByKey]=ContinuousStatsTable[[#This Row],[GroupByKey]])*ContinuousStatsTable[Average]))</f>
        <v>0.68938938009318795</v>
      </c>
      <c r="U20" s="5">
        <f>IF((ContinuousStatsTable[[#This Row],[RepsRequested]]&gt;1),ContinuousStatsTable[[#This Row],[HalfWidth]],ContinuousStatsTable[[#This Row],[BatchMeansHalfWidth]])</f>
        <v>0.10088800633525449</v>
      </c>
    </row>
    <row r="21" spans="1:21" x14ac:dyDescent="0.25">
      <c r="A21" t="s">
        <v>67</v>
      </c>
      <c r="B21" t="s">
        <v>70</v>
      </c>
      <c r="C21">
        <v>4</v>
      </c>
      <c r="D21" t="s">
        <v>74</v>
      </c>
      <c r="E21" t="s">
        <v>88</v>
      </c>
      <c r="F21" t="s">
        <v>76</v>
      </c>
      <c r="G21">
        <v>1.17197377359665</v>
      </c>
      <c r="H21">
        <v>2E+20</v>
      </c>
      <c r="I21">
        <v>0</v>
      </c>
      <c r="J21">
        <v>5</v>
      </c>
      <c r="K21">
        <v>1</v>
      </c>
      <c r="L21">
        <v>0</v>
      </c>
      <c r="M21" s="5" t="str">
        <f>ContinuousStatsTable[[#This Row],[ProjectName]]&amp;ContinuousStatsTable[[#This Row],[Name]]&amp;ContinuousStatsTable[[#This Row],[Type]]&amp;ContinuousStatsTable[[#This Row],[Source]]</f>
        <v>Unnamed ProjectPartWIPEntity</v>
      </c>
      <c r="N21" s="5" cm="1">
        <f t="array" ref="N21">MAX(IF((ProjectInfoTable[ProjectName]=ContinuousStatsTable[[#This Row],[ProjectName]]),(ProjectInfoTable[ProjectName]=ContinuousStatsTable[[#This Row],[ProjectName]])*ProjectInfoTable[NumberOfReplications]))</f>
        <v>5</v>
      </c>
      <c r="O21" s="5" cm="1">
        <f t="array" ref="O21">IFERROR(AVERAGE(IF((ContinuousStatsTable[GroupByKey]=ContinuousStatsTable[[#This Row],[GroupByKey]]),(ContinuousStatsTable[GroupByKey]=ContinuousStatsTable[[#This Row],[GroupByKey]])*ContinuousStatsTable[Average])),0)</f>
        <v>1.31172933546377</v>
      </c>
      <c r="P21" s="5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8.7622848041526383E-2</v>
      </c>
      <c r="Q21" s="5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0.10879813583324249</v>
      </c>
      <c r="S21" s="5" cm="1">
        <f t="array" ref="S21">MIN(IF((ContinuousStatsTable[GroupByKey]=ContinuousStatsTable[[#This Row],[GroupByKey]]),(ContinuousStatsTable[GroupByKey]=ContinuousStatsTable[[#This Row],[GroupByKey]])*ContinuousStatsTable[Average]))</f>
        <v>1.17197377359665</v>
      </c>
      <c r="T21" s="5" cm="1">
        <f t="array" ref="T21">MAX(IF((ContinuousStatsTable[GroupByKey]=ContinuousStatsTable[[#This Row],[GroupByKey]]),(ContinuousStatsTable[GroupByKey]=ContinuousStatsTable[[#This Row],[GroupByKey]])*ContinuousStatsTable[Average]))</f>
        <v>1.3872595956732801</v>
      </c>
      <c r="U21" s="5">
        <f>IF((ContinuousStatsTable[[#This Row],[RepsRequested]]&gt;1),ContinuousStatsTable[[#This Row],[HalfWidth]],ContinuousStatsTable[[#This Row],[BatchMeansHalfWidth]])</f>
        <v>0.10879813583324249</v>
      </c>
    </row>
    <row r="22" spans="1:21" x14ac:dyDescent="0.25">
      <c r="A22" t="s">
        <v>67</v>
      </c>
      <c r="B22" t="s">
        <v>70</v>
      </c>
      <c r="C22">
        <v>5</v>
      </c>
      <c r="D22" t="s">
        <v>82</v>
      </c>
      <c r="E22" t="s">
        <v>83</v>
      </c>
      <c r="F22" t="s">
        <v>84</v>
      </c>
      <c r="G22">
        <v>0.71102752619758502</v>
      </c>
      <c r="H22">
        <v>2E+20</v>
      </c>
      <c r="I22">
        <v>0</v>
      </c>
      <c r="J22">
        <v>1</v>
      </c>
      <c r="K22">
        <v>0</v>
      </c>
      <c r="L22">
        <v>0</v>
      </c>
      <c r="M22" s="5" t="str">
        <f>ContinuousStatsTable[[#This Row],[ProjectName]]&amp;ContinuousStatsTable[[#This Row],[Name]]&amp;ContinuousStatsTable[[#This Row],[Type]]&amp;ContinuousStatsTable[[#This Row],[Source]]</f>
        <v>Unnamed ProjectDrill pressInstantaneous UtilizationResource</v>
      </c>
      <c r="N22" s="5" cm="1">
        <f t="array" ref="N22">MAX(IF((ProjectInfoTable[ProjectName]=ContinuousStatsTable[[#This Row],[ProjectName]]),(ProjectInfoTable[ProjectName]=ContinuousStatsTable[[#This Row],[ProjectName]])*ProjectInfoTable[NumberOfReplications]))</f>
        <v>5</v>
      </c>
      <c r="O22" s="5" cm="1">
        <f t="array" ref="O22">IFERROR(AVERAGE(IF((ContinuousStatsTable[GroupByKey]=ContinuousStatsTable[[#This Row],[GroupByKey]]),(ContinuousStatsTable[GroupByKey]=ContinuousStatsTable[[#This Row],[GroupByKey]])*ContinuousStatsTable[Average])),0)</f>
        <v>0.69887379983755582</v>
      </c>
      <c r="P22" s="5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3.5921507178221228E-2</v>
      </c>
      <c r="Q22" s="5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4.4602442224415374E-2</v>
      </c>
      <c r="S22" s="5" cm="1">
        <f t="array" ref="S22">MIN(IF((ContinuousStatsTable[GroupByKey]=ContinuousStatsTable[[#This Row],[GroupByKey]]),(ContinuousStatsTable[GroupByKey]=ContinuousStatsTable[[#This Row],[GroupByKey]])*ContinuousStatsTable[Average]))</f>
        <v>0.64421661257995999</v>
      </c>
      <c r="T22" s="5" cm="1">
        <f t="array" ref="T22">MAX(IF((ContinuousStatsTable[GroupByKey]=ContinuousStatsTable[[#This Row],[GroupByKey]]),(ContinuousStatsTable[GroupByKey]=ContinuousStatsTable[[#This Row],[GroupByKey]])*ContinuousStatsTable[Average]))</f>
        <v>0.74385294251498302</v>
      </c>
      <c r="U22" s="5">
        <f>IF((ContinuousStatsTable[[#This Row],[RepsRequested]]&gt;1),ContinuousStatsTable[[#This Row],[HalfWidth]],ContinuousStatsTable[[#This Row],[BatchMeansHalfWidth]])</f>
        <v>4.4602442224415374E-2</v>
      </c>
    </row>
    <row r="23" spans="1:21" x14ac:dyDescent="0.25">
      <c r="A23" t="s">
        <v>67</v>
      </c>
      <c r="B23" t="s">
        <v>70</v>
      </c>
      <c r="C23">
        <v>5</v>
      </c>
      <c r="D23" t="s">
        <v>82</v>
      </c>
      <c r="E23" t="s">
        <v>85</v>
      </c>
      <c r="F23" t="s">
        <v>84</v>
      </c>
      <c r="G23">
        <v>0.71102752619758502</v>
      </c>
      <c r="H23">
        <v>2E+20</v>
      </c>
      <c r="I23">
        <v>0</v>
      </c>
      <c r="J23">
        <v>1</v>
      </c>
      <c r="K23">
        <v>0</v>
      </c>
      <c r="L23">
        <v>0</v>
      </c>
      <c r="M23" s="5" t="str">
        <f>ContinuousStatsTable[[#This Row],[ProjectName]]&amp;ContinuousStatsTable[[#This Row],[Name]]&amp;ContinuousStatsTable[[#This Row],[Type]]&amp;ContinuousStatsTable[[#This Row],[Source]]</f>
        <v>Unnamed ProjectDrill pressNumber BusyResource</v>
      </c>
      <c r="N23" s="5" cm="1">
        <f t="array" ref="N23">MAX(IF((ProjectInfoTable[ProjectName]=ContinuousStatsTable[[#This Row],[ProjectName]]),(ProjectInfoTable[ProjectName]=ContinuousStatsTable[[#This Row],[ProjectName]])*ProjectInfoTable[NumberOfReplications]))</f>
        <v>5</v>
      </c>
      <c r="O23" s="5" cm="1">
        <f t="array" ref="O23">IFERROR(AVERAGE(IF((ContinuousStatsTable[GroupByKey]=ContinuousStatsTable[[#This Row],[GroupByKey]]),(ContinuousStatsTable[GroupByKey]=ContinuousStatsTable[[#This Row],[GroupByKey]])*ContinuousStatsTable[Average])),0)</f>
        <v>0.69887379983755582</v>
      </c>
      <c r="P23" s="5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3.5921507178221228E-2</v>
      </c>
      <c r="Q23" s="5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4.4602442224415374E-2</v>
      </c>
      <c r="S23" s="5" cm="1">
        <f t="array" ref="S23">MIN(IF((ContinuousStatsTable[GroupByKey]=ContinuousStatsTable[[#This Row],[GroupByKey]]),(ContinuousStatsTable[GroupByKey]=ContinuousStatsTable[[#This Row],[GroupByKey]])*ContinuousStatsTable[Average]))</f>
        <v>0.64421661257995999</v>
      </c>
      <c r="T23" s="5" cm="1">
        <f t="array" ref="T23">MAX(IF((ContinuousStatsTable[GroupByKey]=ContinuousStatsTable[[#This Row],[GroupByKey]]),(ContinuousStatsTable[GroupByKey]=ContinuousStatsTable[[#This Row],[GroupByKey]])*ContinuousStatsTable[Average]))</f>
        <v>0.74385294251498302</v>
      </c>
      <c r="U23" s="5">
        <f>IF((ContinuousStatsTable[[#This Row],[RepsRequested]]&gt;1),ContinuousStatsTable[[#This Row],[HalfWidth]],ContinuousStatsTable[[#This Row],[BatchMeansHalfWidth]])</f>
        <v>4.4602442224415374E-2</v>
      </c>
    </row>
    <row r="24" spans="1:21" x14ac:dyDescent="0.25">
      <c r="A24" t="s">
        <v>67</v>
      </c>
      <c r="B24" t="s">
        <v>70</v>
      </c>
      <c r="C24">
        <v>5</v>
      </c>
      <c r="D24" t="s">
        <v>82</v>
      </c>
      <c r="E24" t="s">
        <v>86</v>
      </c>
      <c r="F24" t="s">
        <v>84</v>
      </c>
      <c r="G24">
        <v>1</v>
      </c>
      <c r="H24">
        <v>2E+20</v>
      </c>
      <c r="I24">
        <v>1</v>
      </c>
      <c r="J24">
        <v>1</v>
      </c>
      <c r="K24">
        <v>1</v>
      </c>
      <c r="L24">
        <v>0</v>
      </c>
      <c r="M24" s="5" t="str">
        <f>ContinuousStatsTable[[#This Row],[ProjectName]]&amp;ContinuousStatsTable[[#This Row],[Name]]&amp;ContinuousStatsTable[[#This Row],[Type]]&amp;ContinuousStatsTable[[#This Row],[Source]]</f>
        <v>Unnamed ProjectDrill pressNumber ScheduledResource</v>
      </c>
      <c r="N24" s="5" cm="1">
        <f t="array" ref="N24">MAX(IF((ProjectInfoTable[ProjectName]=ContinuousStatsTable[[#This Row],[ProjectName]]),(ProjectInfoTable[ProjectName]=ContinuousStatsTable[[#This Row],[ProjectName]])*ProjectInfoTable[NumberOfReplications]))</f>
        <v>5</v>
      </c>
      <c r="O24" s="5" cm="1">
        <f t="array" ref="O24">IFERROR(AVERAGE(IF((ContinuousStatsTable[GroupByKey]=ContinuousStatsTable[[#This Row],[GroupByKey]]),(ContinuousStatsTable[GroupByKey]=ContinuousStatsTable[[#This Row],[GroupByKey]])*ContinuousStatsTable[Average])),0)</f>
        <v>1</v>
      </c>
      <c r="P24" s="5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0</v>
      </c>
      <c r="Q24" s="5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" s="5" cm="1">
        <f t="array" ref="S24">MIN(IF((ContinuousStatsTable[GroupByKey]=ContinuousStatsTable[[#This Row],[GroupByKey]]),(ContinuousStatsTable[GroupByKey]=ContinuousStatsTable[[#This Row],[GroupByKey]])*ContinuousStatsTable[Average]))</f>
        <v>1</v>
      </c>
      <c r="T24" s="5" cm="1">
        <f t="array" ref="T24">MAX(IF((ContinuousStatsTable[GroupByKey]=ContinuousStatsTable[[#This Row],[GroupByKey]]),(ContinuousStatsTable[GroupByKey]=ContinuousStatsTable[[#This Row],[GroupByKey]])*ContinuousStatsTable[Average]))</f>
        <v>1</v>
      </c>
      <c r="U24" s="5">
        <f>IF((ContinuousStatsTable[[#This Row],[RepsRequested]]&gt;1),ContinuousStatsTable[[#This Row],[HalfWidth]],ContinuousStatsTable[[#This Row],[BatchMeansHalfWidth]])</f>
        <v>0</v>
      </c>
    </row>
    <row r="25" spans="1:21" x14ac:dyDescent="0.25">
      <c r="A25" t="s">
        <v>67</v>
      </c>
      <c r="B25" t="s">
        <v>70</v>
      </c>
      <c r="C25">
        <v>5</v>
      </c>
      <c r="D25" t="s">
        <v>71</v>
      </c>
      <c r="E25" t="s">
        <v>87</v>
      </c>
      <c r="F25" t="s">
        <v>73</v>
      </c>
      <c r="G25">
        <v>0.63951614770661802</v>
      </c>
      <c r="H25">
        <v>2E+20</v>
      </c>
      <c r="I25">
        <v>0</v>
      </c>
      <c r="J25">
        <v>6</v>
      </c>
      <c r="K25">
        <v>0</v>
      </c>
      <c r="L25">
        <v>0</v>
      </c>
      <c r="M25" s="5" t="str">
        <f>ContinuousStatsTable[[#This Row],[ProjectName]]&amp;ContinuousStatsTable[[#This Row],[Name]]&amp;ContinuousStatsTable[[#This Row],[Type]]&amp;ContinuousStatsTable[[#This Row],[Source]]</f>
        <v>Unnamed ProjectDrilling center.QueueNumber WaitingQueue</v>
      </c>
      <c r="N25" s="5" cm="1">
        <f t="array" ref="N25">MAX(IF((ProjectInfoTable[ProjectName]=ContinuousStatsTable[[#This Row],[ProjectName]]),(ProjectInfoTable[ProjectName]=ContinuousStatsTable[[#This Row],[ProjectName]])*ProjectInfoTable[NumberOfReplications]))</f>
        <v>5</v>
      </c>
      <c r="O25" s="5" cm="1">
        <f t="array" ref="O25">IFERROR(AVERAGE(IF((ContinuousStatsTable[GroupByKey]=ContinuousStatsTable[[#This Row],[GroupByKey]]),(ContinuousStatsTable[GroupByKey]=ContinuousStatsTable[[#This Row],[GroupByKey]])*ContinuousStatsTable[Average])),0)</f>
        <v>0.61285553562621375</v>
      </c>
      <c r="P25" s="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8.1252260258171893E-2</v>
      </c>
      <c r="Q25" s="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0.10088800633525449</v>
      </c>
      <c r="S25" s="5" cm="1">
        <f t="array" ref="S25">MIN(IF((ContinuousStatsTable[GroupByKey]=ContinuousStatsTable[[#This Row],[GroupByKey]]),(ContinuousStatsTable[GroupByKey]=ContinuousStatsTable[[#This Row],[GroupByKey]])*ContinuousStatsTable[Average]))</f>
        <v>0.47457207128148898</v>
      </c>
      <c r="T25" s="5" cm="1">
        <f t="array" ref="T25">MAX(IF((ContinuousStatsTable[GroupByKey]=ContinuousStatsTable[[#This Row],[GroupByKey]]),(ContinuousStatsTable[GroupByKey]=ContinuousStatsTable[[#This Row],[GroupByKey]])*ContinuousStatsTable[Average]))</f>
        <v>0.68938938009318795</v>
      </c>
      <c r="U25" s="5">
        <f>IF((ContinuousStatsTable[[#This Row],[RepsRequested]]&gt;1),ContinuousStatsTable[[#This Row],[HalfWidth]],ContinuousStatsTable[[#This Row],[BatchMeansHalfWidth]])</f>
        <v>0.10088800633525449</v>
      </c>
    </row>
    <row r="26" spans="1:21" x14ac:dyDescent="0.25">
      <c r="A26" t="s">
        <v>67</v>
      </c>
      <c r="B26" t="s">
        <v>70</v>
      </c>
      <c r="C26">
        <v>5</v>
      </c>
      <c r="D26" t="s">
        <v>74</v>
      </c>
      <c r="E26" t="s">
        <v>88</v>
      </c>
      <c r="F26" t="s">
        <v>76</v>
      </c>
      <c r="G26">
        <v>1.3505436739042</v>
      </c>
      <c r="H26">
        <v>0.41868836242625002</v>
      </c>
      <c r="I26">
        <v>0</v>
      </c>
      <c r="J26">
        <v>7</v>
      </c>
      <c r="K26">
        <v>0</v>
      </c>
      <c r="L26">
        <v>0</v>
      </c>
      <c r="M26" s="5" t="str">
        <f>ContinuousStatsTable[[#This Row],[ProjectName]]&amp;ContinuousStatsTable[[#This Row],[Name]]&amp;ContinuousStatsTable[[#This Row],[Type]]&amp;ContinuousStatsTable[[#This Row],[Source]]</f>
        <v>Unnamed ProjectPartWIPEntity</v>
      </c>
      <c r="N26" s="5" cm="1">
        <f t="array" ref="N26">MAX(IF((ProjectInfoTable[ProjectName]=ContinuousStatsTable[[#This Row],[ProjectName]]),(ProjectInfoTable[ProjectName]=ContinuousStatsTable[[#This Row],[ProjectName]])*ProjectInfoTable[NumberOfReplications]))</f>
        <v>5</v>
      </c>
      <c r="O26" s="5" cm="1">
        <f t="array" ref="O26">IFERROR(AVERAGE(IF((ContinuousStatsTable[GroupByKey]=ContinuousStatsTable[[#This Row],[GroupByKey]]),(ContinuousStatsTable[GroupByKey]=ContinuousStatsTable[[#This Row],[GroupByKey]])*ContinuousStatsTable[Average])),0)</f>
        <v>1.31172933546377</v>
      </c>
      <c r="P26" s="5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8.7622848041526383E-2</v>
      </c>
      <c r="Q26" s="5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0.10879813583324249</v>
      </c>
      <c r="S26" s="5" cm="1">
        <f t="array" ref="S26">MIN(IF((ContinuousStatsTable[GroupByKey]=ContinuousStatsTable[[#This Row],[GroupByKey]]),(ContinuousStatsTable[GroupByKey]=ContinuousStatsTable[[#This Row],[GroupByKey]])*ContinuousStatsTable[Average]))</f>
        <v>1.17197377359665</v>
      </c>
      <c r="T26" s="5" cm="1">
        <f t="array" ref="T26">MAX(IF((ContinuousStatsTable[GroupByKey]=ContinuousStatsTable[[#This Row],[GroupByKey]]),(ContinuousStatsTable[GroupByKey]=ContinuousStatsTable[[#This Row],[GroupByKey]])*ContinuousStatsTable[Average]))</f>
        <v>1.3872595956732801</v>
      </c>
      <c r="U26" s="5">
        <f>IF((ContinuousStatsTable[[#This Row],[RepsRequested]]&gt;1),ContinuousStatsTable[[#This Row],[HalfWidth]],ContinuousStatsTable[[#This Row],[BatchMeansHalfWidth]])</f>
        <v>0.10879813583324249</v>
      </c>
    </row>
  </sheetData>
  <phoneticPr fontId="2" type="noConversion"/>
  <conditionalFormatting sqref="H2:H26">
    <cfRule type="expression" dxfId="11" priority="9">
      <formula>H2=200000000000000000000</formula>
    </cfRule>
  </conditionalFormatting>
  <conditionalFormatting sqref="H2:H26">
    <cfRule type="expression" dxfId="10" priority="7">
      <formula>H2=300000000000000000000</formula>
    </cfRule>
  </conditionalFormatting>
  <conditionalFormatting sqref="M2:U26">
    <cfRule type="expression" dxfId="9" priority="5">
      <formula>MOD(ROW(),2)=0</formula>
    </cfRule>
  </conditionalFormatting>
  <conditionalFormatting sqref="U2:U26">
    <cfRule type="expression" dxfId="8" priority="3">
      <formula>U2=200000000000000000000</formula>
    </cfRule>
    <cfRule type="expression" dxfId="7" priority="4">
      <formula>U2=300000000000000000000</formula>
    </cfRule>
  </conditionalFormatting>
  <conditionalFormatting sqref="R2:R26 U2:U26">
    <cfRule type="expression" dxfId="6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7.5703125" bestFit="1" customWidth="1"/>
    <col min="6" max="6" width="9.28515625" bestFit="1" customWidth="1"/>
    <col min="7" max="7" width="17" bestFit="1" customWidth="1"/>
    <col min="8" max="8" width="14.28515625" bestFit="1" customWidth="1"/>
    <col min="9" max="9" width="17.28515625" bestFit="1" customWidth="1"/>
    <col min="10" max="10" width="10.5703125" bestFit="1" customWidth="1"/>
    <col min="11" max="11" width="20" bestFit="1" customWidth="1"/>
    <col min="12" max="12" width="20.5703125" bestFit="1" customWidth="1"/>
    <col min="13" max="13" width="12.42578125" bestFit="1" customWidth="1"/>
    <col min="14" max="14" width="12" bestFit="1" customWidth="1"/>
    <col min="15" max="15" width="12.28515625" bestFit="1" customWidth="1"/>
  </cols>
  <sheetData>
    <row r="1" spans="1:1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5" priority="2">
      <formula>MOD(ROW(),2)=0</formula>
    </cfRule>
  </conditionalFormatting>
  <conditionalFormatting sqref="M2">
    <cfRule type="expression" dxfId="4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26"/>
  <sheetViews>
    <sheetView workbookViewId="0">
      <selection activeCell="A2" sqref="A2:H31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29.42578125" bestFit="1" customWidth="1"/>
    <col min="5" max="5" width="20.140625" bestFit="1" customWidth="1"/>
    <col min="6" max="6" width="9.28515625" bestFit="1" customWidth="1"/>
    <col min="7" max="7" width="17" bestFit="1" customWidth="1"/>
    <col min="8" max="8" width="12" bestFit="1" customWidth="1"/>
    <col min="9" max="9" width="73.28515625" bestFit="1" customWidth="1"/>
    <col min="10" max="10" width="17.28515625" bestFit="1" customWidth="1"/>
    <col min="11" max="11" width="10.5703125" bestFit="1" customWidth="1"/>
    <col min="12" max="12" width="20" bestFit="1" customWidth="1"/>
    <col min="13" max="13" width="20.5703125" bestFit="1" customWidth="1"/>
    <col min="14" max="14" width="12.42578125" bestFit="1" customWidth="1"/>
    <col min="15" max="15" width="12" bestFit="1" customWidth="1"/>
    <col min="16" max="16" width="12.28515625" bestFit="1" customWidth="1"/>
  </cols>
  <sheetData>
    <row r="1" spans="1:16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66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25">
      <c r="A2" t="s">
        <v>67</v>
      </c>
      <c r="B2" t="s">
        <v>70</v>
      </c>
      <c r="C2">
        <v>1</v>
      </c>
      <c r="D2" t="s">
        <v>89</v>
      </c>
      <c r="E2" t="s">
        <v>90</v>
      </c>
      <c r="F2" t="s">
        <v>84</v>
      </c>
      <c r="G2">
        <v>134</v>
      </c>
      <c r="H2">
        <v>0</v>
      </c>
      <c r="I2" t="str">
        <f>OutputTable[[#This Row],[ProjectName]]&amp;OutputTable[[#This Row],[Name]]&amp;OutputTable[[#This Row],[Type]]&amp;OutputTable[[#This Row],[Source]]</f>
        <v>Unnamed ProjectDrill press.NumberSeizedTotal Number SeizedResource</v>
      </c>
      <c r="J2" cm="1">
        <f t="array" ref="J2">MAX(IF((ProjectInfoTable[ProjectName]=OutputTable[[#This Row],[ProjectName]]),(ProjectInfoTable[ProjectName]=OutputTable[[#This Row],[ProjectName]])*ProjectInfoTable[NumberOfReplications]))</f>
        <v>5</v>
      </c>
      <c r="K2" cm="1">
        <f t="array" ref="K2">IFERROR(AVERAGE(IF((OutputTable[GroupByKey]=OutputTable[[#This Row],[GroupByKey]]),(OutputTable[GroupByKey]=OutputTable[[#This Row],[GroupByKey]])*OutputTable[RecordedValue])),0)</f>
        <v>151.19999999999999</v>
      </c>
      <c r="L2" cm="1">
        <f t="array" ref="L2">IFERROR(_xlfn.STDEV.S(IF((OutputTable[GroupByKey]=OutputTable[[#This Row],[GroupByKey]]),(OutputTable[GroupByKey]=OutputTable[[#This Row],[GroupByKey]])*OutputTable[RecordedValue])),0)</f>
        <v>11.432410069622241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14.195211996152123</v>
      </c>
      <c r="O2" cm="1">
        <f t="array" ref="O2">MIN(IF((OutputTable[GroupByKey]=OutputTable[[#This Row],[GroupByKey]]),(OutputTable[GroupByKey]=OutputTable[[#This Row],[GroupByKey]])*OutputTable[RecordedValue]))</f>
        <v>134</v>
      </c>
      <c r="P2" cm="1">
        <f t="array" ref="P2">MAX(IF((OutputTable[GroupByKey]=OutputTable[[#This Row],[GroupByKey]]),(OutputTable[GroupByKey]=OutputTable[[#This Row],[GroupByKey]])*OutputTable[RecordedValue]))</f>
        <v>163</v>
      </c>
    </row>
    <row r="3" spans="1:16" x14ac:dyDescent="0.25">
      <c r="A3" t="s">
        <v>67</v>
      </c>
      <c r="B3" t="s">
        <v>70</v>
      </c>
      <c r="C3">
        <v>1</v>
      </c>
      <c r="D3" t="s">
        <v>91</v>
      </c>
      <c r="E3" t="s">
        <v>92</v>
      </c>
      <c r="F3" t="s">
        <v>84</v>
      </c>
      <c r="G3">
        <v>0.64421661257995999</v>
      </c>
      <c r="H3">
        <v>0</v>
      </c>
      <c r="I3" t="str">
        <f>OutputTable[[#This Row],[ProjectName]]&amp;OutputTable[[#This Row],[Name]]&amp;OutputTable[[#This Row],[Type]]&amp;OutputTable[[#This Row],[Source]]</f>
        <v>Unnamed ProjectDrill press.ScheduledUtilizationScheduled UtilizationResource</v>
      </c>
      <c r="J3" cm="1">
        <f t="array" ref="J3">MAX(IF((ProjectInfoTable[ProjectName]=OutputTable[[#This Row],[ProjectName]]),(ProjectInfoTable[ProjectName]=OutputTable[[#This Row],[ProjectName]])*ProjectInfoTable[NumberOfReplications]))</f>
        <v>5</v>
      </c>
      <c r="K3" cm="1">
        <f t="array" ref="K3">IFERROR(AVERAGE(IF((OutputTable[GroupByKey]=OutputTable[[#This Row],[GroupByKey]]),(OutputTable[GroupByKey]=OutputTable[[#This Row],[GroupByKey]])*OutputTable[RecordedValue])),0)</f>
        <v>0.69887379983755582</v>
      </c>
      <c r="L3" cm="1">
        <f t="array" ref="L3">IFERROR(_xlfn.STDEV.S(IF((OutputTable[GroupByKey]=OutputTable[[#This Row],[GroupByKey]]),(OutputTable[GroupByKey]=OutputTable[[#This Row],[GroupByKey]])*OutputTable[RecordedValue])),0)</f>
        <v>3.5921507178221228E-2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4.4602442224415374E-2</v>
      </c>
      <c r="O3" cm="1">
        <f t="array" ref="O3">MIN(IF((OutputTable[GroupByKey]=OutputTable[[#This Row],[GroupByKey]]),(OutputTable[GroupByKey]=OutputTable[[#This Row],[GroupByKey]])*OutputTable[RecordedValue]))</f>
        <v>0.64421661257995999</v>
      </c>
      <c r="P3" cm="1">
        <f t="array" ref="P3">MAX(IF((OutputTable[GroupByKey]=OutputTable[[#This Row],[GroupByKey]]),(OutputTable[GroupByKey]=OutputTable[[#This Row],[GroupByKey]])*OutputTable[RecordedValue]))</f>
        <v>0.74385294251498302</v>
      </c>
    </row>
    <row r="4" spans="1:16" x14ac:dyDescent="0.25">
      <c r="A4" t="s">
        <v>67</v>
      </c>
      <c r="B4" t="s">
        <v>70</v>
      </c>
      <c r="C4">
        <v>1</v>
      </c>
      <c r="D4" t="s">
        <v>93</v>
      </c>
      <c r="E4" t="s">
        <v>94</v>
      </c>
      <c r="F4" t="s">
        <v>76</v>
      </c>
      <c r="G4">
        <v>134</v>
      </c>
      <c r="H4">
        <v>0</v>
      </c>
      <c r="I4" t="str">
        <f>OutputTable[[#This Row],[ProjectName]]&amp;OutputTable[[#This Row],[Name]]&amp;OutputTable[[#This Row],[Type]]&amp;OutputTable[[#This Row],[Source]]</f>
        <v>Unnamed ProjectPart.NumberInNumber InEntity</v>
      </c>
      <c r="J4" cm="1">
        <f t="array" ref="J4">MAX(IF((ProjectInfoTable[ProjectName]=OutputTable[[#This Row],[ProjectName]]),(ProjectInfoTable[ProjectName]=OutputTable[[#This Row],[ProjectName]])*ProjectInfoTable[NumberOfReplications]))</f>
        <v>5</v>
      </c>
      <c r="K4" cm="1">
        <f t="array" ref="K4">IFERROR(AVERAGE(IF((OutputTable[GroupByKey]=OutputTable[[#This Row],[GroupByKey]]),(OutputTable[GroupByKey]=OutputTable[[#This Row],[GroupByKey]])*OutputTable[RecordedValue])),0)</f>
        <v>151.19999999999999</v>
      </c>
      <c r="L4" cm="1">
        <f t="array" ref="L4">IFERROR(_xlfn.STDEV.S(IF((OutputTable[GroupByKey]=OutputTable[[#This Row],[GroupByKey]]),(OutputTable[GroupByKey]=OutputTable[[#This Row],[GroupByKey]])*OutputTable[RecordedValue])),0)</f>
        <v>11.432410069622241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14.195211996152123</v>
      </c>
      <c r="O4" cm="1">
        <f t="array" ref="O4">MIN(IF((OutputTable[GroupByKey]=OutputTable[[#This Row],[GroupByKey]]),(OutputTable[GroupByKey]=OutputTable[[#This Row],[GroupByKey]])*OutputTable[RecordedValue]))</f>
        <v>134</v>
      </c>
      <c r="P4" cm="1">
        <f t="array" ref="P4">MAX(IF((OutputTable[GroupByKey]=OutputTable[[#This Row],[GroupByKey]]),(OutputTable[GroupByKey]=OutputTable[[#This Row],[GroupByKey]])*OutputTable[RecordedValue]))</f>
        <v>163</v>
      </c>
    </row>
    <row r="5" spans="1:16" x14ac:dyDescent="0.25">
      <c r="A5" t="s">
        <v>67</v>
      </c>
      <c r="B5" t="s">
        <v>70</v>
      </c>
      <c r="C5">
        <v>1</v>
      </c>
      <c r="D5" t="s">
        <v>95</v>
      </c>
      <c r="E5" t="s">
        <v>96</v>
      </c>
      <c r="F5" t="s">
        <v>76</v>
      </c>
      <c r="G5">
        <v>134</v>
      </c>
      <c r="H5">
        <v>0</v>
      </c>
      <c r="I5" t="str">
        <f>OutputTable[[#This Row],[ProjectName]]&amp;OutputTable[[#This Row],[Name]]&amp;OutputTable[[#This Row],[Type]]&amp;OutputTable[[#This Row],[Source]]</f>
        <v>Unnamed ProjectPart.NumberOutNumber OutEntity</v>
      </c>
      <c r="J5" cm="1">
        <f t="array" ref="J5">MAX(IF((ProjectInfoTable[ProjectName]=OutputTable[[#This Row],[ProjectName]]),(ProjectInfoTable[ProjectName]=OutputTable[[#This Row],[ProjectName]])*ProjectInfoTable[NumberOfReplications]))</f>
        <v>5</v>
      </c>
      <c r="K5" cm="1">
        <f t="array" ref="K5">IFERROR(AVERAGE(IF((OutputTable[GroupByKey]=OutputTable[[#This Row],[GroupByKey]]),(OutputTable[GroupByKey]=OutputTable[[#This Row],[GroupByKey]])*OutputTable[RecordedValue])),0)</f>
        <v>150.80000000000001</v>
      </c>
      <c r="L5" cm="1">
        <f t="array" ref="L5">IFERROR(_xlfn.STDEV.S(IF((OutputTable[GroupByKey]=OutputTable[[#This Row],[GroupByKey]]),(OutputTable[GroupByKey]=OutputTable[[#This Row],[GroupByKey]])*OutputTable[RecordedValue])),0)</f>
        <v>11.519548602267365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14.303408774993876</v>
      </c>
      <c r="O5" cm="1">
        <f t="array" ref="O5">MIN(IF((OutputTable[GroupByKey]=OutputTable[[#This Row],[GroupByKey]]),(OutputTable[GroupByKey]=OutputTable[[#This Row],[GroupByKey]])*OutputTable[RecordedValue]))</f>
        <v>134</v>
      </c>
      <c r="P5" cm="1">
        <f t="array" ref="P5">MAX(IF((OutputTable[GroupByKey]=OutputTable[[#This Row],[GroupByKey]]),(OutputTable[GroupByKey]=OutputTable[[#This Row],[GroupByKey]])*OutputTable[RecordedValue]))</f>
        <v>163</v>
      </c>
    </row>
    <row r="6" spans="1:16" x14ac:dyDescent="0.25">
      <c r="A6" t="s">
        <v>67</v>
      </c>
      <c r="B6" t="s">
        <v>70</v>
      </c>
      <c r="C6">
        <v>1</v>
      </c>
      <c r="D6" t="s">
        <v>97</v>
      </c>
      <c r="E6" t="s">
        <v>96</v>
      </c>
      <c r="F6" t="s">
        <v>98</v>
      </c>
      <c r="G6">
        <v>134</v>
      </c>
      <c r="H6">
        <v>0</v>
      </c>
      <c r="I6" t="str">
        <f>OutputTable[[#This Row],[ProjectName]]&amp;OutputTable[[#This Row],[Name]]&amp;OutputTable[[#This Row],[Type]]&amp;OutputTable[[#This Row],[Source]]</f>
        <v>Unnamed ProjectSystem.NumberOutNumber OutSystem</v>
      </c>
      <c r="J6" cm="1">
        <f t="array" ref="J6">MAX(IF((ProjectInfoTable[ProjectName]=OutputTable[[#This Row],[ProjectName]]),(ProjectInfoTable[ProjectName]=OutputTable[[#This Row],[ProjectName]])*ProjectInfoTable[NumberOfReplications]))</f>
        <v>5</v>
      </c>
      <c r="K6" cm="1">
        <f t="array" ref="K6">IFERROR(AVERAGE(IF((OutputTable[GroupByKey]=OutputTable[[#This Row],[GroupByKey]]),(OutputTable[GroupByKey]=OutputTable[[#This Row],[GroupByKey]])*OutputTable[RecordedValue])),0)</f>
        <v>150.80000000000001</v>
      </c>
      <c r="L6" cm="1">
        <f t="array" ref="L6">IFERROR(_xlfn.STDEV.S(IF((OutputTable[GroupByKey]=OutputTable[[#This Row],[GroupByKey]]),(OutputTable[GroupByKey]=OutputTable[[#This Row],[GroupByKey]])*OutputTable[RecordedValue])),0)</f>
        <v>11.519548602267365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14.303408774993876</v>
      </c>
      <c r="O6" cm="1">
        <f t="array" ref="O6">MIN(IF((OutputTable[GroupByKey]=OutputTable[[#This Row],[GroupByKey]]),(OutputTable[GroupByKey]=OutputTable[[#This Row],[GroupByKey]])*OutputTable[RecordedValue]))</f>
        <v>134</v>
      </c>
      <c r="P6" cm="1">
        <f t="array" ref="P6">MAX(IF((OutputTable[GroupByKey]=OutputTable[[#This Row],[GroupByKey]]),(OutputTable[GroupByKey]=OutputTable[[#This Row],[GroupByKey]])*OutputTable[RecordedValue]))</f>
        <v>163</v>
      </c>
    </row>
    <row r="7" spans="1:16" x14ac:dyDescent="0.25">
      <c r="A7" t="s">
        <v>67</v>
      </c>
      <c r="B7" t="s">
        <v>70</v>
      </c>
      <c r="C7">
        <v>2</v>
      </c>
      <c r="D7" t="s">
        <v>89</v>
      </c>
      <c r="E7" t="s">
        <v>90</v>
      </c>
      <c r="F7" t="s">
        <v>84</v>
      </c>
      <c r="G7">
        <v>148</v>
      </c>
      <c r="H7">
        <v>0</v>
      </c>
      <c r="I7" t="str">
        <f>OutputTable[[#This Row],[ProjectName]]&amp;OutputTable[[#This Row],[Name]]&amp;OutputTable[[#This Row],[Type]]&amp;OutputTable[[#This Row],[Source]]</f>
        <v>Unnamed ProjectDrill press.NumberSeizedTotal Number SeizedResource</v>
      </c>
      <c r="J7" cm="1">
        <f t="array" ref="J7">MAX(IF((ProjectInfoTable[ProjectName]=OutputTable[[#This Row],[ProjectName]]),(ProjectInfoTable[ProjectName]=OutputTable[[#This Row],[ProjectName]])*ProjectInfoTable[NumberOfReplications]))</f>
        <v>5</v>
      </c>
      <c r="K7" cm="1">
        <f t="array" ref="K7">IFERROR(AVERAGE(IF((OutputTable[GroupByKey]=OutputTable[[#This Row],[GroupByKey]]),(OutputTable[GroupByKey]=OutputTable[[#This Row],[GroupByKey]])*OutputTable[RecordedValue])),0)</f>
        <v>151.19999999999999</v>
      </c>
      <c r="L7" cm="1">
        <f t="array" ref="L7">IFERROR(_xlfn.STDEV.S(IF((OutputTable[GroupByKey]=OutputTable[[#This Row],[GroupByKey]]),(OutputTable[GroupByKey]=OutputTable[[#This Row],[GroupByKey]])*OutputTable[RecordedValue])),0)</f>
        <v>11.432410069622241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14.195211996152123</v>
      </c>
      <c r="O7" cm="1">
        <f t="array" ref="O7">MIN(IF((OutputTable[GroupByKey]=OutputTable[[#This Row],[GroupByKey]]),(OutputTable[GroupByKey]=OutputTable[[#This Row],[GroupByKey]])*OutputTable[RecordedValue]))</f>
        <v>134</v>
      </c>
      <c r="P7" cm="1">
        <f t="array" ref="P7">MAX(IF((OutputTable[GroupByKey]=OutputTable[[#This Row],[GroupByKey]]),(OutputTable[GroupByKey]=OutputTable[[#This Row],[GroupByKey]])*OutputTable[RecordedValue]))</f>
        <v>163</v>
      </c>
    </row>
    <row r="8" spans="1:16" x14ac:dyDescent="0.25">
      <c r="A8" t="s">
        <v>67</v>
      </c>
      <c r="B8" t="s">
        <v>70</v>
      </c>
      <c r="C8">
        <v>2</v>
      </c>
      <c r="D8" t="s">
        <v>91</v>
      </c>
      <c r="E8" t="s">
        <v>92</v>
      </c>
      <c r="F8" t="s">
        <v>84</v>
      </c>
      <c r="G8">
        <v>0.69787021558009399</v>
      </c>
      <c r="H8">
        <v>0</v>
      </c>
      <c r="I8" t="str">
        <f>OutputTable[[#This Row],[ProjectName]]&amp;OutputTable[[#This Row],[Name]]&amp;OutputTable[[#This Row],[Type]]&amp;OutputTable[[#This Row],[Source]]</f>
        <v>Unnamed ProjectDrill press.ScheduledUtilizationScheduled UtilizationResource</v>
      </c>
      <c r="J8" cm="1">
        <f t="array" ref="J8">MAX(IF((ProjectInfoTable[ProjectName]=OutputTable[[#This Row],[ProjectName]]),(ProjectInfoTable[ProjectName]=OutputTable[[#This Row],[ProjectName]])*ProjectInfoTable[NumberOfReplications]))</f>
        <v>5</v>
      </c>
      <c r="K8" cm="1">
        <f t="array" ref="K8">IFERROR(AVERAGE(IF((OutputTable[GroupByKey]=OutputTable[[#This Row],[GroupByKey]]),(OutputTable[GroupByKey]=OutputTable[[#This Row],[GroupByKey]])*OutputTable[RecordedValue])),0)</f>
        <v>0.69887379983755582</v>
      </c>
      <c r="L8" cm="1">
        <f t="array" ref="L8">IFERROR(_xlfn.STDEV.S(IF((OutputTable[GroupByKey]=OutputTable[[#This Row],[GroupByKey]]),(OutputTable[GroupByKey]=OutputTable[[#This Row],[GroupByKey]])*OutputTable[RecordedValue])),0)</f>
        <v>3.5921507178221228E-2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4.4602442224415374E-2</v>
      </c>
      <c r="O8" cm="1">
        <f t="array" ref="O8">MIN(IF((OutputTable[GroupByKey]=OutputTable[[#This Row],[GroupByKey]]),(OutputTable[GroupByKey]=OutputTable[[#This Row],[GroupByKey]])*OutputTable[RecordedValue]))</f>
        <v>0.64421661257995999</v>
      </c>
      <c r="P8" cm="1">
        <f t="array" ref="P8">MAX(IF((OutputTable[GroupByKey]=OutputTable[[#This Row],[GroupByKey]]),(OutputTable[GroupByKey]=OutputTable[[#This Row],[GroupByKey]])*OutputTable[RecordedValue]))</f>
        <v>0.74385294251498302</v>
      </c>
    </row>
    <row r="9" spans="1:16" x14ac:dyDescent="0.25">
      <c r="A9" t="s">
        <v>67</v>
      </c>
      <c r="B9" t="s">
        <v>70</v>
      </c>
      <c r="C9">
        <v>2</v>
      </c>
      <c r="D9" t="s">
        <v>93</v>
      </c>
      <c r="E9" t="s">
        <v>94</v>
      </c>
      <c r="F9" t="s">
        <v>76</v>
      </c>
      <c r="G9">
        <v>148</v>
      </c>
      <c r="H9">
        <v>0</v>
      </c>
      <c r="I9" t="str">
        <f>OutputTable[[#This Row],[ProjectName]]&amp;OutputTable[[#This Row],[Name]]&amp;OutputTable[[#This Row],[Type]]&amp;OutputTable[[#This Row],[Source]]</f>
        <v>Unnamed ProjectPart.NumberInNumber InEntity</v>
      </c>
      <c r="J9" cm="1">
        <f t="array" ref="J9">MAX(IF((ProjectInfoTable[ProjectName]=OutputTable[[#This Row],[ProjectName]]),(ProjectInfoTable[ProjectName]=OutputTable[[#This Row],[ProjectName]])*ProjectInfoTable[NumberOfReplications]))</f>
        <v>5</v>
      </c>
      <c r="K9" cm="1">
        <f t="array" ref="K9">IFERROR(AVERAGE(IF((OutputTable[GroupByKey]=OutputTable[[#This Row],[GroupByKey]]),(OutputTable[GroupByKey]=OutputTable[[#This Row],[GroupByKey]])*OutputTable[RecordedValue])),0)</f>
        <v>151.19999999999999</v>
      </c>
      <c r="L9" cm="1">
        <f t="array" ref="L9">IFERROR(_xlfn.STDEV.S(IF((OutputTable[GroupByKey]=OutputTable[[#This Row],[GroupByKey]]),(OutputTable[GroupByKey]=OutputTable[[#This Row],[GroupByKey]])*OutputTable[RecordedValue])),0)</f>
        <v>11.432410069622241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14.195211996152123</v>
      </c>
      <c r="O9" cm="1">
        <f t="array" ref="O9">MIN(IF((OutputTable[GroupByKey]=OutputTable[[#This Row],[GroupByKey]]),(OutputTable[GroupByKey]=OutputTable[[#This Row],[GroupByKey]])*OutputTable[RecordedValue]))</f>
        <v>134</v>
      </c>
      <c r="P9" cm="1">
        <f t="array" ref="P9">MAX(IF((OutputTable[GroupByKey]=OutputTable[[#This Row],[GroupByKey]]),(OutputTable[GroupByKey]=OutputTable[[#This Row],[GroupByKey]])*OutputTable[RecordedValue]))</f>
        <v>163</v>
      </c>
    </row>
    <row r="10" spans="1:16" x14ac:dyDescent="0.25">
      <c r="A10" t="s">
        <v>67</v>
      </c>
      <c r="B10" t="s">
        <v>70</v>
      </c>
      <c r="C10">
        <v>2</v>
      </c>
      <c r="D10" t="s">
        <v>95</v>
      </c>
      <c r="E10" t="s">
        <v>96</v>
      </c>
      <c r="F10" t="s">
        <v>76</v>
      </c>
      <c r="G10">
        <v>147</v>
      </c>
      <c r="H10">
        <v>0</v>
      </c>
      <c r="I10" t="str">
        <f>OutputTable[[#This Row],[ProjectName]]&amp;OutputTable[[#This Row],[Name]]&amp;OutputTable[[#This Row],[Type]]&amp;OutputTable[[#This Row],[Source]]</f>
        <v>Unnamed ProjectPart.NumberOutNumber OutEntity</v>
      </c>
      <c r="J10" cm="1">
        <f t="array" ref="J10">MAX(IF((ProjectInfoTable[ProjectName]=OutputTable[[#This Row],[ProjectName]]),(ProjectInfoTable[ProjectName]=OutputTable[[#This Row],[ProjectName]])*ProjectInfoTable[NumberOfReplications]))</f>
        <v>5</v>
      </c>
      <c r="K10" cm="1">
        <f t="array" ref="K10">IFERROR(AVERAGE(IF((OutputTable[GroupByKey]=OutputTable[[#This Row],[GroupByKey]]),(OutputTable[GroupByKey]=OutputTable[[#This Row],[GroupByKey]])*OutputTable[RecordedValue])),0)</f>
        <v>150.80000000000001</v>
      </c>
      <c r="L10" cm="1">
        <f t="array" ref="L10">IFERROR(_xlfn.STDEV.S(IF((OutputTable[GroupByKey]=OutputTable[[#This Row],[GroupByKey]]),(OutputTable[GroupByKey]=OutputTable[[#This Row],[GroupByKey]])*OutputTable[RecordedValue])),0)</f>
        <v>11.519548602267365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14.303408774993876</v>
      </c>
      <c r="O10" cm="1">
        <f t="array" ref="O10">MIN(IF((OutputTable[GroupByKey]=OutputTable[[#This Row],[GroupByKey]]),(OutputTable[GroupByKey]=OutputTable[[#This Row],[GroupByKey]])*OutputTable[RecordedValue]))</f>
        <v>134</v>
      </c>
      <c r="P10" cm="1">
        <f t="array" ref="P10">MAX(IF((OutputTable[GroupByKey]=OutputTable[[#This Row],[GroupByKey]]),(OutputTable[GroupByKey]=OutputTable[[#This Row],[GroupByKey]])*OutputTable[RecordedValue]))</f>
        <v>163</v>
      </c>
    </row>
    <row r="11" spans="1:16" x14ac:dyDescent="0.25">
      <c r="A11" t="s">
        <v>67</v>
      </c>
      <c r="B11" t="s">
        <v>70</v>
      </c>
      <c r="C11">
        <v>2</v>
      </c>
      <c r="D11" t="s">
        <v>97</v>
      </c>
      <c r="E11" t="s">
        <v>96</v>
      </c>
      <c r="F11" t="s">
        <v>98</v>
      </c>
      <c r="G11">
        <v>147</v>
      </c>
      <c r="H11">
        <v>0</v>
      </c>
      <c r="I11" t="str">
        <f>OutputTable[[#This Row],[ProjectName]]&amp;OutputTable[[#This Row],[Name]]&amp;OutputTable[[#This Row],[Type]]&amp;OutputTable[[#This Row],[Source]]</f>
        <v>Unnamed ProjectSystem.NumberOutNumber OutSystem</v>
      </c>
      <c r="J11" cm="1">
        <f t="array" ref="J11">MAX(IF((ProjectInfoTable[ProjectName]=OutputTable[[#This Row],[ProjectName]]),(ProjectInfoTable[ProjectName]=OutputTable[[#This Row],[ProjectName]])*ProjectInfoTable[NumberOfReplications]))</f>
        <v>5</v>
      </c>
      <c r="K11" cm="1">
        <f t="array" ref="K11">IFERROR(AVERAGE(IF((OutputTable[GroupByKey]=OutputTable[[#This Row],[GroupByKey]]),(OutputTable[GroupByKey]=OutputTable[[#This Row],[GroupByKey]])*OutputTable[RecordedValue])),0)</f>
        <v>150.80000000000001</v>
      </c>
      <c r="L11" cm="1">
        <f t="array" ref="L11">IFERROR(_xlfn.STDEV.S(IF((OutputTable[GroupByKey]=OutputTable[[#This Row],[GroupByKey]]),(OutputTable[GroupByKey]=OutputTable[[#This Row],[GroupByKey]])*OutputTable[RecordedValue])),0)</f>
        <v>11.519548602267365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14.303408774993876</v>
      </c>
      <c r="O11" cm="1">
        <f t="array" ref="O11">MIN(IF((OutputTable[GroupByKey]=OutputTable[[#This Row],[GroupByKey]]),(OutputTable[GroupByKey]=OutputTable[[#This Row],[GroupByKey]])*OutputTable[RecordedValue]))</f>
        <v>134</v>
      </c>
      <c r="P11" cm="1">
        <f t="array" ref="P11">MAX(IF((OutputTable[GroupByKey]=OutputTable[[#This Row],[GroupByKey]]),(OutputTable[GroupByKey]=OutputTable[[#This Row],[GroupByKey]])*OutputTable[RecordedValue]))</f>
        <v>163</v>
      </c>
    </row>
    <row r="12" spans="1:16" x14ac:dyDescent="0.25">
      <c r="A12" t="s">
        <v>67</v>
      </c>
      <c r="B12" t="s">
        <v>70</v>
      </c>
      <c r="C12">
        <v>3</v>
      </c>
      <c r="D12" t="s">
        <v>89</v>
      </c>
      <c r="E12" t="s">
        <v>90</v>
      </c>
      <c r="F12" t="s">
        <v>84</v>
      </c>
      <c r="G12">
        <v>163</v>
      </c>
      <c r="H12">
        <v>0</v>
      </c>
      <c r="I12" t="str">
        <f>OutputTable[[#This Row],[ProjectName]]&amp;OutputTable[[#This Row],[Name]]&amp;OutputTable[[#This Row],[Type]]&amp;OutputTable[[#This Row],[Source]]</f>
        <v>Unnamed ProjectDrill press.NumberSeizedTotal Number SeizedResource</v>
      </c>
      <c r="J12" cm="1">
        <f t="array" ref="J12">MAX(IF((ProjectInfoTable[ProjectName]=OutputTable[[#This Row],[ProjectName]]),(ProjectInfoTable[ProjectName]=OutputTable[[#This Row],[ProjectName]])*ProjectInfoTable[NumberOfReplications]))</f>
        <v>5</v>
      </c>
      <c r="K12" cm="1">
        <f t="array" ref="K12">IFERROR(AVERAGE(IF((OutputTable[GroupByKey]=OutputTable[[#This Row],[GroupByKey]]),(OutputTable[GroupByKey]=OutputTable[[#This Row],[GroupByKey]])*OutputTable[RecordedValue])),0)</f>
        <v>151.19999999999999</v>
      </c>
      <c r="L12" cm="1">
        <f t="array" ref="L12">IFERROR(_xlfn.STDEV.S(IF((OutputTable[GroupByKey]=OutputTable[[#This Row],[GroupByKey]]),(OutputTable[GroupByKey]=OutputTable[[#This Row],[GroupByKey]])*OutputTable[RecordedValue])),0)</f>
        <v>11.432410069622241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14.195211996152123</v>
      </c>
      <c r="O12" cm="1">
        <f t="array" ref="O12">MIN(IF((OutputTable[GroupByKey]=OutputTable[[#This Row],[GroupByKey]]),(OutputTable[GroupByKey]=OutputTable[[#This Row],[GroupByKey]])*OutputTable[RecordedValue]))</f>
        <v>134</v>
      </c>
      <c r="P12" cm="1">
        <f t="array" ref="P12">MAX(IF((OutputTable[GroupByKey]=OutputTable[[#This Row],[GroupByKey]]),(OutputTable[GroupByKey]=OutputTable[[#This Row],[GroupByKey]])*OutputTable[RecordedValue]))</f>
        <v>163</v>
      </c>
    </row>
    <row r="13" spans="1:16" x14ac:dyDescent="0.25">
      <c r="A13" t="s">
        <v>67</v>
      </c>
      <c r="B13" t="s">
        <v>70</v>
      </c>
      <c r="C13">
        <v>3</v>
      </c>
      <c r="D13" t="s">
        <v>91</v>
      </c>
      <c r="E13" t="s">
        <v>92</v>
      </c>
      <c r="F13" t="s">
        <v>84</v>
      </c>
      <c r="G13">
        <v>0.74385294251498302</v>
      </c>
      <c r="H13">
        <v>0</v>
      </c>
      <c r="I13" t="str">
        <f>OutputTable[[#This Row],[ProjectName]]&amp;OutputTable[[#This Row],[Name]]&amp;OutputTable[[#This Row],[Type]]&amp;OutputTable[[#This Row],[Source]]</f>
        <v>Unnamed ProjectDrill press.ScheduledUtilizationScheduled UtilizationResource</v>
      </c>
      <c r="J13" cm="1">
        <f t="array" ref="J13">MAX(IF((ProjectInfoTable[ProjectName]=OutputTable[[#This Row],[ProjectName]]),(ProjectInfoTable[ProjectName]=OutputTable[[#This Row],[ProjectName]])*ProjectInfoTable[NumberOfReplications]))</f>
        <v>5</v>
      </c>
      <c r="K13" cm="1">
        <f t="array" ref="K13">IFERROR(AVERAGE(IF((OutputTable[GroupByKey]=OutputTable[[#This Row],[GroupByKey]]),(OutputTable[GroupByKey]=OutputTable[[#This Row],[GroupByKey]])*OutputTable[RecordedValue])),0)</f>
        <v>0.69887379983755582</v>
      </c>
      <c r="L13" cm="1">
        <f t="array" ref="L13">IFERROR(_xlfn.STDEV.S(IF((OutputTable[GroupByKey]=OutputTable[[#This Row],[GroupByKey]]),(OutputTable[GroupByKey]=OutputTable[[#This Row],[GroupByKey]])*OutputTable[RecordedValue])),0)</f>
        <v>3.5921507178221228E-2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4.4602442224415374E-2</v>
      </c>
      <c r="O13" cm="1">
        <f t="array" ref="O13">MIN(IF((OutputTable[GroupByKey]=OutputTable[[#This Row],[GroupByKey]]),(OutputTable[GroupByKey]=OutputTable[[#This Row],[GroupByKey]])*OutputTable[RecordedValue]))</f>
        <v>0.64421661257995999</v>
      </c>
      <c r="P13" cm="1">
        <f t="array" ref="P13">MAX(IF((OutputTable[GroupByKey]=OutputTable[[#This Row],[GroupByKey]]),(OutputTable[GroupByKey]=OutputTable[[#This Row],[GroupByKey]])*OutputTable[RecordedValue]))</f>
        <v>0.74385294251498302</v>
      </c>
    </row>
    <row r="14" spans="1:16" x14ac:dyDescent="0.25">
      <c r="A14" t="s">
        <v>67</v>
      </c>
      <c r="B14" t="s">
        <v>70</v>
      </c>
      <c r="C14">
        <v>3</v>
      </c>
      <c r="D14" t="s">
        <v>93</v>
      </c>
      <c r="E14" t="s">
        <v>94</v>
      </c>
      <c r="F14" t="s">
        <v>76</v>
      </c>
      <c r="G14">
        <v>163</v>
      </c>
      <c r="H14">
        <v>0</v>
      </c>
      <c r="I14" t="str">
        <f>OutputTable[[#This Row],[ProjectName]]&amp;OutputTable[[#This Row],[Name]]&amp;OutputTable[[#This Row],[Type]]&amp;OutputTable[[#This Row],[Source]]</f>
        <v>Unnamed ProjectPart.NumberInNumber InEntity</v>
      </c>
      <c r="J14" cm="1">
        <f t="array" ref="J14">MAX(IF((ProjectInfoTable[ProjectName]=OutputTable[[#This Row],[ProjectName]]),(ProjectInfoTable[ProjectName]=OutputTable[[#This Row],[ProjectName]])*ProjectInfoTable[NumberOfReplications]))</f>
        <v>5</v>
      </c>
      <c r="K14" cm="1">
        <f t="array" ref="K14">IFERROR(AVERAGE(IF((OutputTable[GroupByKey]=OutputTable[[#This Row],[GroupByKey]]),(OutputTable[GroupByKey]=OutputTable[[#This Row],[GroupByKey]])*OutputTable[RecordedValue])),0)</f>
        <v>151.19999999999999</v>
      </c>
      <c r="L14" cm="1">
        <f t="array" ref="L14">IFERROR(_xlfn.STDEV.S(IF((OutputTable[GroupByKey]=OutputTable[[#This Row],[GroupByKey]]),(OutputTable[GroupByKey]=OutputTable[[#This Row],[GroupByKey]])*OutputTable[RecordedValue])),0)</f>
        <v>11.432410069622241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14.195211996152123</v>
      </c>
      <c r="O14" cm="1">
        <f t="array" ref="O14">MIN(IF((OutputTable[GroupByKey]=OutputTable[[#This Row],[GroupByKey]]),(OutputTable[GroupByKey]=OutputTable[[#This Row],[GroupByKey]])*OutputTable[RecordedValue]))</f>
        <v>134</v>
      </c>
      <c r="P14" cm="1">
        <f t="array" ref="P14">MAX(IF((OutputTable[GroupByKey]=OutputTable[[#This Row],[GroupByKey]]),(OutputTable[GroupByKey]=OutputTable[[#This Row],[GroupByKey]])*OutputTable[RecordedValue]))</f>
        <v>163</v>
      </c>
    </row>
    <row r="15" spans="1:16" x14ac:dyDescent="0.25">
      <c r="A15" t="s">
        <v>67</v>
      </c>
      <c r="B15" t="s">
        <v>70</v>
      </c>
      <c r="C15">
        <v>3</v>
      </c>
      <c r="D15" t="s">
        <v>95</v>
      </c>
      <c r="E15" t="s">
        <v>96</v>
      </c>
      <c r="F15" t="s">
        <v>76</v>
      </c>
      <c r="G15">
        <v>163</v>
      </c>
      <c r="H15">
        <v>0</v>
      </c>
      <c r="I15" t="str">
        <f>OutputTable[[#This Row],[ProjectName]]&amp;OutputTable[[#This Row],[Name]]&amp;OutputTable[[#This Row],[Type]]&amp;OutputTable[[#This Row],[Source]]</f>
        <v>Unnamed ProjectPart.NumberOutNumber OutEntity</v>
      </c>
      <c r="J15" cm="1">
        <f t="array" ref="J15">MAX(IF((ProjectInfoTable[ProjectName]=OutputTable[[#This Row],[ProjectName]]),(ProjectInfoTable[ProjectName]=OutputTable[[#This Row],[ProjectName]])*ProjectInfoTable[NumberOfReplications]))</f>
        <v>5</v>
      </c>
      <c r="K15" cm="1">
        <f t="array" ref="K15">IFERROR(AVERAGE(IF((OutputTable[GroupByKey]=OutputTable[[#This Row],[GroupByKey]]),(OutputTable[GroupByKey]=OutputTable[[#This Row],[GroupByKey]])*OutputTable[RecordedValue])),0)</f>
        <v>150.80000000000001</v>
      </c>
      <c r="L15" cm="1">
        <f t="array" ref="L15">IFERROR(_xlfn.STDEV.S(IF((OutputTable[GroupByKey]=OutputTable[[#This Row],[GroupByKey]]),(OutputTable[GroupByKey]=OutputTable[[#This Row],[GroupByKey]])*OutputTable[RecordedValue])),0)</f>
        <v>11.519548602267365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14.303408774993876</v>
      </c>
      <c r="O15" cm="1">
        <f t="array" ref="O15">MIN(IF((OutputTable[GroupByKey]=OutputTable[[#This Row],[GroupByKey]]),(OutputTable[GroupByKey]=OutputTable[[#This Row],[GroupByKey]])*OutputTable[RecordedValue]))</f>
        <v>134</v>
      </c>
      <c r="P15" cm="1">
        <f t="array" ref="P15">MAX(IF((OutputTable[GroupByKey]=OutputTable[[#This Row],[GroupByKey]]),(OutputTable[GroupByKey]=OutputTable[[#This Row],[GroupByKey]])*OutputTable[RecordedValue]))</f>
        <v>163</v>
      </c>
    </row>
    <row r="16" spans="1:16" x14ac:dyDescent="0.25">
      <c r="A16" t="s">
        <v>67</v>
      </c>
      <c r="B16" t="s">
        <v>70</v>
      </c>
      <c r="C16">
        <v>3</v>
      </c>
      <c r="D16" t="s">
        <v>97</v>
      </c>
      <c r="E16" t="s">
        <v>96</v>
      </c>
      <c r="F16" t="s">
        <v>98</v>
      </c>
      <c r="G16">
        <v>163</v>
      </c>
      <c r="H16">
        <v>0</v>
      </c>
      <c r="I16" t="str">
        <f>OutputTable[[#This Row],[ProjectName]]&amp;OutputTable[[#This Row],[Name]]&amp;OutputTable[[#This Row],[Type]]&amp;OutputTable[[#This Row],[Source]]</f>
        <v>Unnamed ProjectSystem.NumberOutNumber OutSystem</v>
      </c>
      <c r="J16" cm="1">
        <f t="array" ref="J16">MAX(IF((ProjectInfoTable[ProjectName]=OutputTable[[#This Row],[ProjectName]]),(ProjectInfoTable[ProjectName]=OutputTable[[#This Row],[ProjectName]])*ProjectInfoTable[NumberOfReplications]))</f>
        <v>5</v>
      </c>
      <c r="K16" cm="1">
        <f t="array" ref="K16">IFERROR(AVERAGE(IF((OutputTable[GroupByKey]=OutputTable[[#This Row],[GroupByKey]]),(OutputTable[GroupByKey]=OutputTable[[#This Row],[GroupByKey]])*OutputTable[RecordedValue])),0)</f>
        <v>150.80000000000001</v>
      </c>
      <c r="L16" cm="1">
        <f t="array" ref="L16">IFERROR(_xlfn.STDEV.S(IF((OutputTable[GroupByKey]=OutputTable[[#This Row],[GroupByKey]]),(OutputTable[GroupByKey]=OutputTable[[#This Row],[GroupByKey]])*OutputTable[RecordedValue])),0)</f>
        <v>11.519548602267365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14.303408774993876</v>
      </c>
      <c r="O16" cm="1">
        <f t="array" ref="O16">MIN(IF((OutputTable[GroupByKey]=OutputTable[[#This Row],[GroupByKey]]),(OutputTable[GroupByKey]=OutputTable[[#This Row],[GroupByKey]])*OutputTable[RecordedValue]))</f>
        <v>134</v>
      </c>
      <c r="P16" cm="1">
        <f t="array" ref="P16">MAX(IF((OutputTable[GroupByKey]=OutputTable[[#This Row],[GroupByKey]]),(OutputTable[GroupByKey]=OutputTable[[#This Row],[GroupByKey]])*OutputTable[RecordedValue]))</f>
        <v>163</v>
      </c>
    </row>
    <row r="17" spans="1:16" x14ac:dyDescent="0.25">
      <c r="A17" t="s">
        <v>67</v>
      </c>
      <c r="B17" t="s">
        <v>70</v>
      </c>
      <c r="C17">
        <v>4</v>
      </c>
      <c r="D17" t="s">
        <v>89</v>
      </c>
      <c r="E17" t="s">
        <v>90</v>
      </c>
      <c r="F17" t="s">
        <v>84</v>
      </c>
      <c r="G17">
        <v>151</v>
      </c>
      <c r="H17">
        <v>0</v>
      </c>
      <c r="I17" t="str">
        <f>OutputTable[[#This Row],[ProjectName]]&amp;OutputTable[[#This Row],[Name]]&amp;OutputTable[[#This Row],[Type]]&amp;OutputTable[[#This Row],[Source]]</f>
        <v>Unnamed ProjectDrill press.NumberSeizedTotal Number SeizedResource</v>
      </c>
      <c r="J17" cm="1">
        <f t="array" ref="J17">MAX(IF((ProjectInfoTable[ProjectName]=OutputTable[[#This Row],[ProjectName]]),(ProjectInfoTable[ProjectName]=OutputTable[[#This Row],[ProjectName]])*ProjectInfoTable[NumberOfReplications]))</f>
        <v>5</v>
      </c>
      <c r="K17" cm="1">
        <f t="array" ref="K17">IFERROR(AVERAGE(IF((OutputTable[GroupByKey]=OutputTable[[#This Row],[GroupByKey]]),(OutputTable[GroupByKey]=OutputTable[[#This Row],[GroupByKey]])*OutputTable[RecordedValue])),0)</f>
        <v>151.19999999999999</v>
      </c>
      <c r="L17" cm="1">
        <f t="array" ref="L17">IFERROR(_xlfn.STDEV.S(IF((OutputTable[GroupByKey]=OutputTable[[#This Row],[GroupByKey]]),(OutputTable[GroupByKey]=OutputTable[[#This Row],[GroupByKey]])*OutputTable[RecordedValue])),0)</f>
        <v>11.432410069622241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14.195211996152123</v>
      </c>
      <c r="O17" cm="1">
        <f t="array" ref="O17">MIN(IF((OutputTable[GroupByKey]=OutputTable[[#This Row],[GroupByKey]]),(OutputTable[GroupByKey]=OutputTable[[#This Row],[GroupByKey]])*OutputTable[RecordedValue]))</f>
        <v>134</v>
      </c>
      <c r="P17" cm="1">
        <f t="array" ref="P17">MAX(IF((OutputTable[GroupByKey]=OutputTable[[#This Row],[GroupByKey]]),(OutputTable[GroupByKey]=OutputTable[[#This Row],[GroupByKey]])*OutputTable[RecordedValue]))</f>
        <v>163</v>
      </c>
    </row>
    <row r="18" spans="1:16" x14ac:dyDescent="0.25">
      <c r="A18" t="s">
        <v>67</v>
      </c>
      <c r="B18" t="s">
        <v>70</v>
      </c>
      <c r="C18">
        <v>4</v>
      </c>
      <c r="D18" t="s">
        <v>91</v>
      </c>
      <c r="E18" t="s">
        <v>92</v>
      </c>
      <c r="F18" t="s">
        <v>84</v>
      </c>
      <c r="G18">
        <v>0.69740170231515697</v>
      </c>
      <c r="H18">
        <v>0</v>
      </c>
      <c r="I18" t="str">
        <f>OutputTable[[#This Row],[ProjectName]]&amp;OutputTable[[#This Row],[Name]]&amp;OutputTable[[#This Row],[Type]]&amp;OutputTable[[#This Row],[Source]]</f>
        <v>Unnamed ProjectDrill press.ScheduledUtilizationScheduled UtilizationResource</v>
      </c>
      <c r="J18" cm="1">
        <f t="array" ref="J18">MAX(IF((ProjectInfoTable[ProjectName]=OutputTable[[#This Row],[ProjectName]]),(ProjectInfoTable[ProjectName]=OutputTable[[#This Row],[ProjectName]])*ProjectInfoTable[NumberOfReplications]))</f>
        <v>5</v>
      </c>
      <c r="K18" cm="1">
        <f t="array" ref="K18">IFERROR(AVERAGE(IF((OutputTable[GroupByKey]=OutputTable[[#This Row],[GroupByKey]]),(OutputTable[GroupByKey]=OutputTable[[#This Row],[GroupByKey]])*OutputTable[RecordedValue])),0)</f>
        <v>0.69887379983755582</v>
      </c>
      <c r="L18" cm="1">
        <f t="array" ref="L18">IFERROR(_xlfn.STDEV.S(IF((OutputTable[GroupByKey]=OutputTable[[#This Row],[GroupByKey]]),(OutputTable[GroupByKey]=OutputTable[[#This Row],[GroupByKey]])*OutputTable[RecordedValue])),0)</f>
        <v>3.5921507178221228E-2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4.4602442224415374E-2</v>
      </c>
      <c r="O18" cm="1">
        <f t="array" ref="O18">MIN(IF((OutputTable[GroupByKey]=OutputTable[[#This Row],[GroupByKey]]),(OutputTable[GroupByKey]=OutputTable[[#This Row],[GroupByKey]])*OutputTable[RecordedValue]))</f>
        <v>0.64421661257995999</v>
      </c>
      <c r="P18" cm="1">
        <f t="array" ref="P18">MAX(IF((OutputTable[GroupByKey]=OutputTable[[#This Row],[GroupByKey]]),(OutputTable[GroupByKey]=OutputTable[[#This Row],[GroupByKey]])*OutputTable[RecordedValue]))</f>
        <v>0.74385294251498302</v>
      </c>
    </row>
    <row r="19" spans="1:16" x14ac:dyDescent="0.25">
      <c r="A19" t="s">
        <v>67</v>
      </c>
      <c r="B19" t="s">
        <v>70</v>
      </c>
      <c r="C19">
        <v>4</v>
      </c>
      <c r="D19" t="s">
        <v>93</v>
      </c>
      <c r="E19" t="s">
        <v>94</v>
      </c>
      <c r="F19" t="s">
        <v>76</v>
      </c>
      <c r="G19">
        <v>151</v>
      </c>
      <c r="H19">
        <v>0</v>
      </c>
      <c r="I19" t="str">
        <f>OutputTable[[#This Row],[ProjectName]]&amp;OutputTable[[#This Row],[Name]]&amp;OutputTable[[#This Row],[Type]]&amp;OutputTable[[#This Row],[Source]]</f>
        <v>Unnamed ProjectPart.NumberInNumber InEntity</v>
      </c>
      <c r="J19" cm="1">
        <f t="array" ref="J19">MAX(IF((ProjectInfoTable[ProjectName]=OutputTable[[#This Row],[ProjectName]]),(ProjectInfoTable[ProjectName]=OutputTable[[#This Row],[ProjectName]])*ProjectInfoTable[NumberOfReplications]))</f>
        <v>5</v>
      </c>
      <c r="K19" cm="1">
        <f t="array" ref="K19">IFERROR(AVERAGE(IF((OutputTable[GroupByKey]=OutputTable[[#This Row],[GroupByKey]]),(OutputTable[GroupByKey]=OutputTable[[#This Row],[GroupByKey]])*OutputTable[RecordedValue])),0)</f>
        <v>151.19999999999999</v>
      </c>
      <c r="L19" cm="1">
        <f t="array" ref="L19">IFERROR(_xlfn.STDEV.S(IF((OutputTable[GroupByKey]=OutputTable[[#This Row],[GroupByKey]]),(OutputTable[GroupByKey]=OutputTable[[#This Row],[GroupByKey]])*OutputTable[RecordedValue])),0)</f>
        <v>11.432410069622241</v>
      </c>
      <c r="M19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14.195211996152123</v>
      </c>
      <c r="O19" cm="1">
        <f t="array" ref="O19">MIN(IF((OutputTable[GroupByKey]=OutputTable[[#This Row],[GroupByKey]]),(OutputTable[GroupByKey]=OutputTable[[#This Row],[GroupByKey]])*OutputTable[RecordedValue]))</f>
        <v>134</v>
      </c>
      <c r="P19" cm="1">
        <f t="array" ref="P19">MAX(IF((OutputTable[GroupByKey]=OutputTable[[#This Row],[GroupByKey]]),(OutputTable[GroupByKey]=OutputTable[[#This Row],[GroupByKey]])*OutputTable[RecordedValue]))</f>
        <v>163</v>
      </c>
    </row>
    <row r="20" spans="1:16" x14ac:dyDescent="0.25">
      <c r="A20" t="s">
        <v>67</v>
      </c>
      <c r="B20" t="s">
        <v>70</v>
      </c>
      <c r="C20">
        <v>4</v>
      </c>
      <c r="D20" t="s">
        <v>95</v>
      </c>
      <c r="E20" t="s">
        <v>96</v>
      </c>
      <c r="F20" t="s">
        <v>76</v>
      </c>
      <c r="G20">
        <v>150</v>
      </c>
      <c r="H20">
        <v>0</v>
      </c>
      <c r="I20" t="str">
        <f>OutputTable[[#This Row],[ProjectName]]&amp;OutputTable[[#This Row],[Name]]&amp;OutputTable[[#This Row],[Type]]&amp;OutputTable[[#This Row],[Source]]</f>
        <v>Unnamed ProjectPart.NumberOutNumber OutEntity</v>
      </c>
      <c r="J20" cm="1">
        <f t="array" ref="J20">MAX(IF((ProjectInfoTable[ProjectName]=OutputTable[[#This Row],[ProjectName]]),(ProjectInfoTable[ProjectName]=OutputTable[[#This Row],[ProjectName]])*ProjectInfoTable[NumberOfReplications]))</f>
        <v>5</v>
      </c>
      <c r="K20" cm="1">
        <f t="array" ref="K20">IFERROR(AVERAGE(IF((OutputTable[GroupByKey]=OutputTable[[#This Row],[GroupByKey]]),(OutputTable[GroupByKey]=OutputTable[[#This Row],[GroupByKey]])*OutputTable[RecordedValue])),0)</f>
        <v>150.80000000000001</v>
      </c>
      <c r="L20" cm="1">
        <f t="array" ref="L20">IFERROR(_xlfn.STDEV.S(IF((OutputTable[GroupByKey]=OutputTable[[#This Row],[GroupByKey]]),(OutputTable[GroupByKey]=OutputTable[[#This Row],[GroupByKey]])*OutputTable[RecordedValue])),0)</f>
        <v>11.519548602267365</v>
      </c>
      <c r="M20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14.303408774993876</v>
      </c>
      <c r="O20" cm="1">
        <f t="array" ref="O20">MIN(IF((OutputTable[GroupByKey]=OutputTable[[#This Row],[GroupByKey]]),(OutputTable[GroupByKey]=OutputTable[[#This Row],[GroupByKey]])*OutputTable[RecordedValue]))</f>
        <v>134</v>
      </c>
      <c r="P20" cm="1">
        <f t="array" ref="P20">MAX(IF((OutputTable[GroupByKey]=OutputTable[[#This Row],[GroupByKey]]),(OutputTable[GroupByKey]=OutputTable[[#This Row],[GroupByKey]])*OutputTable[RecordedValue]))</f>
        <v>163</v>
      </c>
    </row>
    <row r="21" spans="1:16" x14ac:dyDescent="0.25">
      <c r="A21" t="s">
        <v>67</v>
      </c>
      <c r="B21" t="s">
        <v>70</v>
      </c>
      <c r="C21">
        <v>4</v>
      </c>
      <c r="D21" t="s">
        <v>97</v>
      </c>
      <c r="E21" t="s">
        <v>96</v>
      </c>
      <c r="F21" t="s">
        <v>98</v>
      </c>
      <c r="G21">
        <v>150</v>
      </c>
      <c r="H21">
        <v>0</v>
      </c>
      <c r="I21" t="str">
        <f>OutputTable[[#This Row],[ProjectName]]&amp;OutputTable[[#This Row],[Name]]&amp;OutputTable[[#This Row],[Type]]&amp;OutputTable[[#This Row],[Source]]</f>
        <v>Unnamed ProjectSystem.NumberOutNumber OutSystem</v>
      </c>
      <c r="J21" cm="1">
        <f t="array" ref="J21">MAX(IF((ProjectInfoTable[ProjectName]=OutputTable[[#This Row],[ProjectName]]),(ProjectInfoTable[ProjectName]=OutputTable[[#This Row],[ProjectName]])*ProjectInfoTable[NumberOfReplications]))</f>
        <v>5</v>
      </c>
      <c r="K21" cm="1">
        <f t="array" ref="K21">IFERROR(AVERAGE(IF((OutputTable[GroupByKey]=OutputTable[[#This Row],[GroupByKey]]),(OutputTable[GroupByKey]=OutputTable[[#This Row],[GroupByKey]])*OutputTable[RecordedValue])),0)</f>
        <v>150.80000000000001</v>
      </c>
      <c r="L21" cm="1">
        <f t="array" ref="L21">IFERROR(_xlfn.STDEV.S(IF((OutputTable[GroupByKey]=OutputTable[[#This Row],[GroupByKey]]),(OutputTable[GroupByKey]=OutputTable[[#This Row],[GroupByKey]])*OutputTable[RecordedValue])),0)</f>
        <v>11.519548602267365</v>
      </c>
      <c r="M21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14.303408774993876</v>
      </c>
      <c r="O21" cm="1">
        <f t="array" ref="O21">MIN(IF((OutputTable[GroupByKey]=OutputTable[[#This Row],[GroupByKey]]),(OutputTable[GroupByKey]=OutputTable[[#This Row],[GroupByKey]])*OutputTable[RecordedValue]))</f>
        <v>134</v>
      </c>
      <c r="P21" cm="1">
        <f t="array" ref="P21">MAX(IF((OutputTable[GroupByKey]=OutputTable[[#This Row],[GroupByKey]]),(OutputTable[GroupByKey]=OutputTable[[#This Row],[GroupByKey]])*OutputTable[RecordedValue]))</f>
        <v>163</v>
      </c>
    </row>
    <row r="22" spans="1:16" x14ac:dyDescent="0.25">
      <c r="A22" t="s">
        <v>67</v>
      </c>
      <c r="B22" t="s">
        <v>70</v>
      </c>
      <c r="C22">
        <v>5</v>
      </c>
      <c r="D22" t="s">
        <v>89</v>
      </c>
      <c r="E22" t="s">
        <v>90</v>
      </c>
      <c r="F22" t="s">
        <v>84</v>
      </c>
      <c r="G22">
        <v>160</v>
      </c>
      <c r="H22">
        <v>0</v>
      </c>
      <c r="I22" t="str">
        <f>OutputTable[[#This Row],[ProjectName]]&amp;OutputTable[[#This Row],[Name]]&amp;OutputTable[[#This Row],[Type]]&amp;OutputTable[[#This Row],[Source]]</f>
        <v>Unnamed ProjectDrill press.NumberSeizedTotal Number SeizedResource</v>
      </c>
      <c r="J22" cm="1">
        <f t="array" ref="J22">MAX(IF((ProjectInfoTable[ProjectName]=OutputTable[[#This Row],[ProjectName]]),(ProjectInfoTable[ProjectName]=OutputTable[[#This Row],[ProjectName]])*ProjectInfoTable[NumberOfReplications]))</f>
        <v>5</v>
      </c>
      <c r="K22" cm="1">
        <f t="array" ref="K22">IFERROR(AVERAGE(IF((OutputTable[GroupByKey]=OutputTable[[#This Row],[GroupByKey]]),(OutputTable[GroupByKey]=OutputTable[[#This Row],[GroupByKey]])*OutputTable[RecordedValue])),0)</f>
        <v>151.19999999999999</v>
      </c>
      <c r="L22" cm="1">
        <f t="array" ref="L22">IFERROR(_xlfn.STDEV.S(IF((OutputTable[GroupByKey]=OutputTable[[#This Row],[GroupByKey]]),(OutputTable[GroupByKey]=OutputTable[[#This Row],[GroupByKey]])*OutputTable[RecordedValue])),0)</f>
        <v>11.432410069622241</v>
      </c>
      <c r="M22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14.195211996152123</v>
      </c>
      <c r="O22" cm="1">
        <f t="array" ref="O22">MIN(IF((OutputTable[GroupByKey]=OutputTable[[#This Row],[GroupByKey]]),(OutputTable[GroupByKey]=OutputTable[[#This Row],[GroupByKey]])*OutputTable[RecordedValue]))</f>
        <v>134</v>
      </c>
      <c r="P22" cm="1">
        <f t="array" ref="P22">MAX(IF((OutputTable[GroupByKey]=OutputTable[[#This Row],[GroupByKey]]),(OutputTable[GroupByKey]=OutputTable[[#This Row],[GroupByKey]])*OutputTable[RecordedValue]))</f>
        <v>163</v>
      </c>
    </row>
    <row r="23" spans="1:16" x14ac:dyDescent="0.25">
      <c r="A23" t="s">
        <v>67</v>
      </c>
      <c r="B23" t="s">
        <v>70</v>
      </c>
      <c r="C23">
        <v>5</v>
      </c>
      <c r="D23" t="s">
        <v>91</v>
      </c>
      <c r="E23" t="s">
        <v>92</v>
      </c>
      <c r="F23" t="s">
        <v>84</v>
      </c>
      <c r="G23">
        <v>0.71102752619758502</v>
      </c>
      <c r="H23">
        <v>0</v>
      </c>
      <c r="I23" t="str">
        <f>OutputTable[[#This Row],[ProjectName]]&amp;OutputTable[[#This Row],[Name]]&amp;OutputTable[[#This Row],[Type]]&amp;OutputTable[[#This Row],[Source]]</f>
        <v>Unnamed ProjectDrill press.ScheduledUtilizationScheduled UtilizationResource</v>
      </c>
      <c r="J23" cm="1">
        <f t="array" ref="J23">MAX(IF((ProjectInfoTable[ProjectName]=OutputTable[[#This Row],[ProjectName]]),(ProjectInfoTable[ProjectName]=OutputTable[[#This Row],[ProjectName]])*ProjectInfoTable[NumberOfReplications]))</f>
        <v>5</v>
      </c>
      <c r="K23" cm="1">
        <f t="array" ref="K23">IFERROR(AVERAGE(IF((OutputTable[GroupByKey]=OutputTable[[#This Row],[GroupByKey]]),(OutputTable[GroupByKey]=OutputTable[[#This Row],[GroupByKey]])*OutputTable[RecordedValue])),0)</f>
        <v>0.69887379983755582</v>
      </c>
      <c r="L23" cm="1">
        <f t="array" ref="L23">IFERROR(_xlfn.STDEV.S(IF((OutputTable[GroupByKey]=OutputTable[[#This Row],[GroupByKey]]),(OutputTable[GroupByKey]=OutputTable[[#This Row],[GroupByKey]])*OutputTable[RecordedValue])),0)</f>
        <v>3.5921507178221228E-2</v>
      </c>
      <c r="M2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4.4602442224415374E-2</v>
      </c>
      <c r="O23" cm="1">
        <f t="array" ref="O23">MIN(IF((OutputTable[GroupByKey]=OutputTable[[#This Row],[GroupByKey]]),(OutputTable[GroupByKey]=OutputTable[[#This Row],[GroupByKey]])*OutputTable[RecordedValue]))</f>
        <v>0.64421661257995999</v>
      </c>
      <c r="P23" cm="1">
        <f t="array" ref="P23">MAX(IF((OutputTable[GroupByKey]=OutputTable[[#This Row],[GroupByKey]]),(OutputTable[GroupByKey]=OutputTable[[#This Row],[GroupByKey]])*OutputTable[RecordedValue]))</f>
        <v>0.74385294251498302</v>
      </c>
    </row>
    <row r="24" spans="1:16" x14ac:dyDescent="0.25">
      <c r="A24" t="s">
        <v>67</v>
      </c>
      <c r="B24" t="s">
        <v>70</v>
      </c>
      <c r="C24">
        <v>5</v>
      </c>
      <c r="D24" t="s">
        <v>93</v>
      </c>
      <c r="E24" t="s">
        <v>94</v>
      </c>
      <c r="F24" t="s">
        <v>76</v>
      </c>
      <c r="G24">
        <v>160</v>
      </c>
      <c r="H24">
        <v>0</v>
      </c>
      <c r="I24" t="str">
        <f>OutputTable[[#This Row],[ProjectName]]&amp;OutputTable[[#This Row],[Name]]&amp;OutputTable[[#This Row],[Type]]&amp;OutputTable[[#This Row],[Source]]</f>
        <v>Unnamed ProjectPart.NumberInNumber InEntity</v>
      </c>
      <c r="J24" cm="1">
        <f t="array" ref="J24">MAX(IF((ProjectInfoTable[ProjectName]=OutputTable[[#This Row],[ProjectName]]),(ProjectInfoTable[ProjectName]=OutputTable[[#This Row],[ProjectName]])*ProjectInfoTable[NumberOfReplications]))</f>
        <v>5</v>
      </c>
      <c r="K24" cm="1">
        <f t="array" ref="K24">IFERROR(AVERAGE(IF((OutputTable[GroupByKey]=OutputTable[[#This Row],[GroupByKey]]),(OutputTable[GroupByKey]=OutputTable[[#This Row],[GroupByKey]])*OutputTable[RecordedValue])),0)</f>
        <v>151.19999999999999</v>
      </c>
      <c r="L24" cm="1">
        <f t="array" ref="L24">IFERROR(_xlfn.STDEV.S(IF((OutputTable[GroupByKey]=OutputTable[[#This Row],[GroupByKey]]),(OutputTable[GroupByKey]=OutputTable[[#This Row],[GroupByKey]])*OutputTable[RecordedValue])),0)</f>
        <v>11.432410069622241</v>
      </c>
      <c r="M24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14.195211996152123</v>
      </c>
      <c r="O24" cm="1">
        <f t="array" ref="O24">MIN(IF((OutputTable[GroupByKey]=OutputTable[[#This Row],[GroupByKey]]),(OutputTable[GroupByKey]=OutputTable[[#This Row],[GroupByKey]])*OutputTable[RecordedValue]))</f>
        <v>134</v>
      </c>
      <c r="P24" cm="1">
        <f t="array" ref="P24">MAX(IF((OutputTable[GroupByKey]=OutputTable[[#This Row],[GroupByKey]]),(OutputTable[GroupByKey]=OutputTable[[#This Row],[GroupByKey]])*OutputTable[RecordedValue]))</f>
        <v>163</v>
      </c>
    </row>
    <row r="25" spans="1:16" x14ac:dyDescent="0.25">
      <c r="A25" t="s">
        <v>67</v>
      </c>
      <c r="B25" t="s">
        <v>70</v>
      </c>
      <c r="C25">
        <v>5</v>
      </c>
      <c r="D25" t="s">
        <v>95</v>
      </c>
      <c r="E25" t="s">
        <v>96</v>
      </c>
      <c r="F25" t="s">
        <v>76</v>
      </c>
      <c r="G25">
        <v>160</v>
      </c>
      <c r="H25">
        <v>0</v>
      </c>
      <c r="I25" t="str">
        <f>OutputTable[[#This Row],[ProjectName]]&amp;OutputTable[[#This Row],[Name]]&amp;OutputTable[[#This Row],[Type]]&amp;OutputTable[[#This Row],[Source]]</f>
        <v>Unnamed ProjectPart.NumberOutNumber OutEntity</v>
      </c>
      <c r="J25" cm="1">
        <f t="array" ref="J25">MAX(IF((ProjectInfoTable[ProjectName]=OutputTable[[#This Row],[ProjectName]]),(ProjectInfoTable[ProjectName]=OutputTable[[#This Row],[ProjectName]])*ProjectInfoTable[NumberOfReplications]))</f>
        <v>5</v>
      </c>
      <c r="K25" cm="1">
        <f t="array" ref="K25">IFERROR(AVERAGE(IF((OutputTable[GroupByKey]=OutputTable[[#This Row],[GroupByKey]]),(OutputTable[GroupByKey]=OutputTable[[#This Row],[GroupByKey]])*OutputTable[RecordedValue])),0)</f>
        <v>150.80000000000001</v>
      </c>
      <c r="L25" cm="1">
        <f t="array" ref="L25">IFERROR(_xlfn.STDEV.S(IF((OutputTable[GroupByKey]=OutputTable[[#This Row],[GroupByKey]]),(OutputTable[GroupByKey]=OutputTable[[#This Row],[GroupByKey]])*OutputTable[RecordedValue])),0)</f>
        <v>11.519548602267365</v>
      </c>
      <c r="M25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14.303408774993876</v>
      </c>
      <c r="O25" cm="1">
        <f t="array" ref="O25">MIN(IF((OutputTable[GroupByKey]=OutputTable[[#This Row],[GroupByKey]]),(OutputTable[GroupByKey]=OutputTable[[#This Row],[GroupByKey]])*OutputTable[RecordedValue]))</f>
        <v>134</v>
      </c>
      <c r="P25" cm="1">
        <f t="array" ref="P25">MAX(IF((OutputTable[GroupByKey]=OutputTable[[#This Row],[GroupByKey]]),(OutputTable[GroupByKey]=OutputTable[[#This Row],[GroupByKey]])*OutputTable[RecordedValue]))</f>
        <v>163</v>
      </c>
    </row>
    <row r="26" spans="1:16" x14ac:dyDescent="0.25">
      <c r="A26" t="s">
        <v>67</v>
      </c>
      <c r="B26" t="s">
        <v>70</v>
      </c>
      <c r="C26">
        <v>5</v>
      </c>
      <c r="D26" t="s">
        <v>97</v>
      </c>
      <c r="E26" t="s">
        <v>96</v>
      </c>
      <c r="F26" t="s">
        <v>98</v>
      </c>
      <c r="G26">
        <v>160</v>
      </c>
      <c r="H26">
        <v>0</v>
      </c>
      <c r="I26" t="str">
        <f>OutputTable[[#This Row],[ProjectName]]&amp;OutputTable[[#This Row],[Name]]&amp;OutputTable[[#This Row],[Type]]&amp;OutputTable[[#This Row],[Source]]</f>
        <v>Unnamed ProjectSystem.NumberOutNumber OutSystem</v>
      </c>
      <c r="J26" cm="1">
        <f t="array" ref="J26">MAX(IF((ProjectInfoTable[ProjectName]=OutputTable[[#This Row],[ProjectName]]),(ProjectInfoTable[ProjectName]=OutputTable[[#This Row],[ProjectName]])*ProjectInfoTable[NumberOfReplications]))</f>
        <v>5</v>
      </c>
      <c r="K26" cm="1">
        <f t="array" ref="K26">IFERROR(AVERAGE(IF((OutputTable[GroupByKey]=OutputTable[[#This Row],[GroupByKey]]),(OutputTable[GroupByKey]=OutputTable[[#This Row],[GroupByKey]])*OutputTable[RecordedValue])),0)</f>
        <v>150.80000000000001</v>
      </c>
      <c r="L26" cm="1">
        <f t="array" ref="L26">IFERROR(_xlfn.STDEV.S(IF((OutputTable[GroupByKey]=OutputTable[[#This Row],[GroupByKey]]),(OutputTable[GroupByKey]=OutputTable[[#This Row],[GroupByKey]])*OutputTable[RecordedValue])),0)</f>
        <v>11.519548602267365</v>
      </c>
      <c r="M26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14.303408774993876</v>
      </c>
      <c r="O26" cm="1">
        <f t="array" ref="O26">MIN(IF((OutputTable[GroupByKey]=OutputTable[[#This Row],[GroupByKey]]),(OutputTable[GroupByKey]=OutputTable[[#This Row],[GroupByKey]])*OutputTable[RecordedValue]))</f>
        <v>134</v>
      </c>
      <c r="P26" cm="1">
        <f t="array" ref="P26">MAX(IF((OutputTable[GroupByKey]=OutputTable[[#This Row],[GroupByKey]]),(OutputTable[GroupByKey]=OutputTable[[#This Row],[GroupByKey]])*OutputTable[RecordedValue]))</f>
        <v>163</v>
      </c>
    </row>
  </sheetData>
  <phoneticPr fontId="2" type="noConversion"/>
  <conditionalFormatting sqref="I2:P26">
    <cfRule type="expression" dxfId="3" priority="2">
      <formula>MOD(ROW(),2)=0</formula>
    </cfRule>
  </conditionalFormatting>
  <conditionalFormatting sqref="N2:N26">
    <cfRule type="expression" dxfId="2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11.140625" bestFit="1" customWidth="1"/>
    <col min="6" max="6" width="9.28515625" bestFit="1" customWidth="1"/>
    <col min="7" max="7" width="21.42578125" bestFit="1" customWidth="1"/>
    <col min="8" max="8" width="22.5703125" bestFit="1" customWidth="1"/>
    <col min="9" max="9" width="25" bestFit="1" customWidth="1"/>
    <col min="10" max="10" width="26.140625" bestFit="1" customWidth="1"/>
    <col min="11" max="11" width="16.140625" bestFit="1" customWidth="1"/>
    <col min="12" max="12" width="14.28515625" bestFit="1" customWidth="1"/>
    <col min="13" max="13" width="30" bestFit="1" customWidth="1"/>
    <col min="14" max="14" width="31.140625" bestFit="1" customWidth="1"/>
    <col min="15" max="15" width="17.28515625" bestFit="1" customWidth="1"/>
    <col min="16" max="16" width="29" bestFit="1" customWidth="1"/>
    <col min="17" max="17" width="30.140625" bestFit="1" customWidth="1"/>
    <col min="18" max="18" width="29.28515625" bestFit="1" customWidth="1"/>
    <col min="19" max="19" width="28.28515625" bestFit="1" customWidth="1"/>
    <col min="20" max="20" width="26.28515625" bestFit="1" customWidth="1"/>
    <col min="21" max="21" width="29.85546875" bestFit="1" customWidth="1"/>
    <col min="22" max="22" width="31.85546875" bestFit="1" customWidth="1"/>
    <col min="23" max="23" width="32.140625" bestFit="1" customWidth="1"/>
  </cols>
  <sheetData>
    <row r="1" spans="1:17" x14ac:dyDescent="0.2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68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25">
      <c r="B17" s="3"/>
    </row>
    <row r="18" spans="2:2" x14ac:dyDescent="0.25">
      <c r="B18" s="3"/>
    </row>
    <row r="19" spans="2:2" x14ac:dyDescent="0.25">
      <c r="B19" s="3"/>
    </row>
    <row r="20" spans="2:2" x14ac:dyDescent="0.25">
      <c r="B20" s="3"/>
    </row>
    <row r="21" spans="2:2" x14ac:dyDescent="0.25">
      <c r="B21" s="3"/>
    </row>
    <row r="22" spans="2:2" x14ac:dyDescent="0.25">
      <c r="B22" s="3"/>
    </row>
    <row r="23" spans="2:2" x14ac:dyDescent="0.25">
      <c r="B23" s="3"/>
    </row>
    <row r="24" spans="2:2" x14ac:dyDescent="0.25">
      <c r="B24" s="3"/>
    </row>
    <row r="25" spans="2:2" x14ac:dyDescent="0.25">
      <c r="B25" s="3"/>
    </row>
    <row r="26" spans="2:2" x14ac:dyDescent="0.25">
      <c r="B26" s="3"/>
    </row>
    <row r="27" spans="2:2" x14ac:dyDescent="0.25">
      <c r="B27" s="3"/>
    </row>
    <row r="28" spans="2:2" x14ac:dyDescent="0.25">
      <c r="B28" s="3"/>
    </row>
    <row r="29" spans="2:2" x14ac:dyDescent="0.25">
      <c r="B29" s="3"/>
    </row>
    <row r="30" spans="2:2" x14ac:dyDescent="0.25">
      <c r="B30" s="3"/>
    </row>
    <row r="31" spans="2:2" x14ac:dyDescent="0.25">
      <c r="B31" s="3"/>
    </row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Bashir Adlan</cp:lastModifiedBy>
  <cp:lastPrinted>2022-03-22T10:33:10Z</cp:lastPrinted>
  <dcterms:created xsi:type="dcterms:W3CDTF">2020-06-29T21:30:31Z</dcterms:created>
  <dcterms:modified xsi:type="dcterms:W3CDTF">2026-01-28T14:24:40Z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4c1950-b3a8-4278-88f1-6df69d73b9d5_Enabled">
    <vt:lpwstr>true</vt:lpwstr>
  </property>
  <property fmtid="{D5CDD505-2E9C-101B-9397-08002B2CF9AE}" pid="3" name="MSIP_Label_e14c1950-b3a8-4278-88f1-6df69d73b9d5_SetDate">
    <vt:lpwstr>2024-01-31T15:04:47Z</vt:lpwstr>
  </property>
  <property fmtid="{D5CDD505-2E9C-101B-9397-08002B2CF9AE}" pid="4" name="MSIP_Label_e14c1950-b3a8-4278-88f1-6df69d73b9d5_Method">
    <vt:lpwstr>Standard</vt:lpwstr>
  </property>
  <property fmtid="{D5CDD505-2E9C-101B-9397-08002B2CF9AE}" pid="5" name="MSIP_Label_e14c1950-b3a8-4278-88f1-6df69d73b9d5_Name">
    <vt:lpwstr>e14c1950-b3a8-4278-88f1-6df69d73b9d5</vt:lpwstr>
  </property>
  <property fmtid="{D5CDD505-2E9C-101B-9397-08002B2CF9AE}" pid="6" name="MSIP_Label_e14c1950-b3a8-4278-88f1-6df69d73b9d5_SiteId">
    <vt:lpwstr>855b093e-7340-45c7-9f0c-96150415893e</vt:lpwstr>
  </property>
  <property fmtid="{D5CDD505-2E9C-101B-9397-08002B2CF9AE}" pid="7" name="MSIP_Label_e14c1950-b3a8-4278-88f1-6df69d73b9d5_ActionId">
    <vt:lpwstr>1067fc30-94ed-4383-8c96-2d26f0045600</vt:lpwstr>
  </property>
  <property fmtid="{D5CDD505-2E9C-101B-9397-08002B2CF9AE}" pid="8" name="MSIP_Label_e14c1950-b3a8-4278-88f1-6df69d73b9d5_ContentBits">
    <vt:lpwstr>0</vt:lpwstr>
  </property>
</Properties>
</file>