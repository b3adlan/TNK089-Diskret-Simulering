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filur03.it.liu.se\students\basad559\Downloads\lab2_data_files\"/>
    </mc:Choice>
  </mc:AlternateContent>
  <xr:revisionPtr revIDLastSave="0" documentId="13_ncr:1_{7BCA61FA-397A-4F3C-9E81-AC1A63B367AF}" xr6:coauthVersionLast="47" xr6:coauthVersionMax="47" xr10:uidLastSave="{00000000-0000-0000-0000-000000000000}"/>
  <bookViews>
    <workbookView xWindow="2220" yWindow="4020" windowWidth="21600" windowHeight="12645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ContinuousTimeStatsByRep!$A$1:$L$8</definedName>
    <definedName name="ExternalData_1" localSheetId="4" hidden="1">CounterStatsByRep!$A$1:$G$2</definedName>
    <definedName name="ExternalData_1" localSheetId="2" hidden="1">DiscreteTimeStatsByRep!$A$1:$K$14</definedName>
    <definedName name="ExternalData_1" localSheetId="6" hidden="1">FrequencyStatsByRep!$A$1:$K$2</definedName>
    <definedName name="ExternalData_1" localSheetId="5" hidden="1">OutputStatsByRep!$A$1:$H$10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81" r:id="rId8"/>
    <pivotCache cacheId="88" r:id="rId9"/>
    <pivotCache cacheId="95" r:id="rId10"/>
    <pivotCache cacheId="102" r:id="rId11"/>
    <pivotCache cacheId="10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L3" i="20" s="1" a="1"/>
  <c r="L3" i="20" s="1"/>
  <c r="I4" i="20"/>
  <c r="I5" i="20"/>
  <c r="I6" i="20"/>
  <c r="I7" i="20"/>
  <c r="I8" i="20"/>
  <c r="I9" i="20"/>
  <c r="L9" i="20" s="1" a="1"/>
  <c r="L9" i="20" s="1"/>
  <c r="I10" i="20"/>
  <c r="J2" i="20" a="1"/>
  <c r="J2" i="20"/>
  <c r="J3" i="20" a="1"/>
  <c r="J3" i="20"/>
  <c r="J4" i="20" a="1"/>
  <c r="J4" i="20"/>
  <c r="J5" i="20" a="1"/>
  <c r="J5" i="20"/>
  <c r="J6" i="20" a="1"/>
  <c r="J6" i="20"/>
  <c r="J7" i="20" a="1"/>
  <c r="J7" i="20" s="1"/>
  <c r="J8" i="20" a="1"/>
  <c r="J8" i="20"/>
  <c r="J9" i="20" a="1"/>
  <c r="J9" i="20"/>
  <c r="J10" i="20" a="1"/>
  <c r="J10" i="20"/>
  <c r="K2" i="20" a="1"/>
  <c r="K2" i="20" s="1"/>
  <c r="M2" i="20" a="1"/>
  <c r="M2" i="20"/>
  <c r="M3" i="20" a="1"/>
  <c r="M3" i="20"/>
  <c r="M4" i="20" a="1"/>
  <c r="M4" i="20" s="1"/>
  <c r="M5" i="20" a="1"/>
  <c r="M5" i="20"/>
  <c r="M6" i="20" a="1"/>
  <c r="M6" i="20"/>
  <c r="M7" i="20" a="1"/>
  <c r="M7" i="20"/>
  <c r="M8" i="20" a="1"/>
  <c r="M8" i="20"/>
  <c r="M9" i="20" a="1"/>
  <c r="M9" i="20"/>
  <c r="M10" i="20" a="1"/>
  <c r="M10" i="20"/>
  <c r="M2" i="18"/>
  <c r="M3" i="18"/>
  <c r="M4" i="18"/>
  <c r="M5" i="18"/>
  <c r="M6" i="18"/>
  <c r="O6" i="18" s="1" a="1"/>
  <c r="O6" i="18" s="1"/>
  <c r="M7" i="18"/>
  <c r="O7" i="18" s="1" a="1"/>
  <c r="O7" i="18" s="1"/>
  <c r="M8" i="18"/>
  <c r="S8" i="18" s="1" a="1"/>
  <c r="S8" i="18" s="1"/>
  <c r="N2" i="18" a="1"/>
  <c r="N2" i="18"/>
  <c r="N3" i="18" a="1"/>
  <c r="N3" i="18"/>
  <c r="N4" i="18" a="1"/>
  <c r="N4" i="18"/>
  <c r="U4" i="18" s="1"/>
  <c r="N5" i="18" a="1"/>
  <c r="N5" i="18"/>
  <c r="U5" i="18" s="1"/>
  <c r="N6" i="18" a="1"/>
  <c r="N6" i="18"/>
  <c r="U6" i="18" s="1"/>
  <c r="N7" i="18" a="1"/>
  <c r="N7" i="18"/>
  <c r="U7" i="18" s="1"/>
  <c r="N8" i="18" a="1"/>
  <c r="N8" i="18" s="1"/>
  <c r="O8" i="18" a="1"/>
  <c r="O8" i="18"/>
  <c r="P2" i="18" a="1"/>
  <c r="P2" i="18"/>
  <c r="P3" i="18" a="1"/>
  <c r="P3" i="18"/>
  <c r="P4" i="18" a="1"/>
  <c r="P4" i="18" s="1"/>
  <c r="P8" i="18" a="1"/>
  <c r="P8" i="18" s="1"/>
  <c r="Q2" i="18" a="1"/>
  <c r="Q2" i="18"/>
  <c r="Q3" i="18" a="1"/>
  <c r="Q3" i="18"/>
  <c r="Q4" i="18" a="1"/>
  <c r="Q4" i="18" s="1"/>
  <c r="Q5" i="18" a="1"/>
  <c r="Q5" i="18"/>
  <c r="Q6" i="18" a="1"/>
  <c r="Q6" i="18"/>
  <c r="Q7" i="18" a="1"/>
  <c r="Q7" i="18" s="1"/>
  <c r="Q8" i="18" a="1"/>
  <c r="Q8" i="18"/>
  <c r="S2" i="18" a="1"/>
  <c r="S2" i="18"/>
  <c r="S3" i="18" a="1"/>
  <c r="S3" i="18"/>
  <c r="S4" i="18" a="1"/>
  <c r="S4" i="18"/>
  <c r="S5" i="18" a="1"/>
  <c r="S5" i="18"/>
  <c r="S6" i="18" a="1"/>
  <c r="S6" i="18" s="1"/>
  <c r="T3" i="18" a="1"/>
  <c r="T3" i="18" s="1"/>
  <c r="T7" i="18" a="1"/>
  <c r="T7" i="18" s="1"/>
  <c r="T8" i="18" a="1"/>
  <c r="T8" i="18" s="1"/>
  <c r="U2" i="18"/>
  <c r="U3" i="18"/>
  <c r="L2" i="17"/>
  <c r="L3" i="17"/>
  <c r="L4" i="17"/>
  <c r="L5" i="17"/>
  <c r="L6" i="17"/>
  <c r="L7" i="17"/>
  <c r="L8" i="17"/>
  <c r="L9" i="17"/>
  <c r="L10" i="17"/>
  <c r="L11" i="17"/>
  <c r="L12" i="17"/>
  <c r="T7" i="17" s="1" a="1"/>
  <c r="T7" i="17" s="1"/>
  <c r="L13" i="17"/>
  <c r="X13" i="17" s="1" a="1"/>
  <c r="X13" i="17" s="1"/>
  <c r="L14" i="17"/>
  <c r="M2" i="17" a="1"/>
  <c r="M2" i="17"/>
  <c r="W2" i="17" s="1"/>
  <c r="M3" i="17" a="1"/>
  <c r="M3" i="17"/>
  <c r="M4" i="17" a="1"/>
  <c r="M4" i="17" s="1"/>
  <c r="W4" i="17" s="1"/>
  <c r="M5" i="17" a="1"/>
  <c r="M5" i="17" s="1"/>
  <c r="M6" i="17" a="1"/>
  <c r="M6" i="17" s="1"/>
  <c r="W6" i="17" s="1"/>
  <c r="M7" i="17" a="1"/>
  <c r="M7" i="17" s="1"/>
  <c r="W7" i="17" s="1"/>
  <c r="M8" i="17" a="1"/>
  <c r="M8" i="17"/>
  <c r="M9" i="17" a="1"/>
  <c r="M9" i="17" s="1"/>
  <c r="M10" i="17" a="1"/>
  <c r="M10" i="17" s="1"/>
  <c r="M11" i="17" a="1"/>
  <c r="M11" i="17" s="1"/>
  <c r="W11" i="17" s="1"/>
  <c r="M12" i="17" a="1"/>
  <c r="M12" i="17"/>
  <c r="M13" i="17" a="1"/>
  <c r="M13" i="17"/>
  <c r="W13" i="17" s="1"/>
  <c r="M14" i="17" a="1"/>
  <c r="M14" i="17"/>
  <c r="W14" i="17" s="1"/>
  <c r="P2" i="17" a="1"/>
  <c r="P2" i="17" s="1"/>
  <c r="P3" i="17" a="1"/>
  <c r="P3" i="17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/>
  <c r="P14" i="17" a="1"/>
  <c r="P14" i="17" s="1"/>
  <c r="T9" i="17" a="1"/>
  <c r="T9" i="17" s="1"/>
  <c r="U4" i="17" a="1"/>
  <c r="U4" i="17" s="1"/>
  <c r="U6" i="17" a="1"/>
  <c r="U6" i="17" s="1"/>
  <c r="W8" i="17"/>
  <c r="X2" i="17" a="1"/>
  <c r="X2" i="17" s="1"/>
  <c r="Y2" i="17" s="1"/>
  <c r="X3" i="17" a="1"/>
  <c r="X3" i="17" s="1"/>
  <c r="X5" i="17" a="1"/>
  <c r="X5" i="17" s="1"/>
  <c r="X12" i="17" a="1"/>
  <c r="X12" i="17" s="1"/>
  <c r="G2" i="16"/>
  <c r="N3" i="20" l="1"/>
  <c r="L7" i="20" a="1"/>
  <c r="L7" i="20" s="1"/>
  <c r="N7" i="20" s="1"/>
  <c r="L5" i="20" a="1"/>
  <c r="L5" i="20" s="1"/>
  <c r="N5" i="20" s="1"/>
  <c r="K3" i="20" a="1"/>
  <c r="K3" i="20" s="1"/>
  <c r="L8" i="20" a="1"/>
  <c r="L8" i="20" s="1"/>
  <c r="N8" i="20" s="1"/>
  <c r="L6" i="20" a="1"/>
  <c r="L6" i="20" s="1"/>
  <c r="N6" i="20" s="1"/>
  <c r="L4" i="20" a="1"/>
  <c r="L4" i="20" s="1"/>
  <c r="N4" i="20" s="1"/>
  <c r="P2" i="20" a="1"/>
  <c r="P2" i="20" s="1"/>
  <c r="N9" i="20"/>
  <c r="O10" i="20" a="1"/>
  <c r="O10" i="20" s="1"/>
  <c r="L2" i="20" a="1"/>
  <c r="L2" i="20" s="1"/>
  <c r="N2" i="20" s="1"/>
  <c r="P10" i="20" a="1"/>
  <c r="P10" i="20" s="1"/>
  <c r="O9" i="20" a="1"/>
  <c r="O9" i="20" s="1"/>
  <c r="K10" i="20" a="1"/>
  <c r="K10" i="20" s="1"/>
  <c r="P9" i="20" a="1"/>
  <c r="P9" i="20" s="1"/>
  <c r="O8" i="20" a="1"/>
  <c r="O8" i="20" s="1"/>
  <c r="L10" i="20" a="1"/>
  <c r="L10" i="20" s="1"/>
  <c r="N10" i="20" s="1"/>
  <c r="K9" i="20" a="1"/>
  <c r="K9" i="20" s="1"/>
  <c r="P8" i="20" a="1"/>
  <c r="P8" i="20" s="1"/>
  <c r="O7" i="20" a="1"/>
  <c r="O7" i="20" s="1"/>
  <c r="K8" i="20" a="1"/>
  <c r="K8" i="20" s="1"/>
  <c r="P7" i="20" a="1"/>
  <c r="P7" i="20" s="1"/>
  <c r="O6" i="20" a="1"/>
  <c r="O6" i="20" s="1"/>
  <c r="K7" i="20" a="1"/>
  <c r="K7" i="20" s="1"/>
  <c r="P6" i="20" a="1"/>
  <c r="P6" i="20" s="1"/>
  <c r="O5" i="20" a="1"/>
  <c r="O5" i="20" s="1"/>
  <c r="K6" i="20" a="1"/>
  <c r="K6" i="20" s="1"/>
  <c r="P5" i="20" a="1"/>
  <c r="P5" i="20" s="1"/>
  <c r="O4" i="20" a="1"/>
  <c r="O4" i="20" s="1"/>
  <c r="K5" i="20" a="1"/>
  <c r="K5" i="20" s="1"/>
  <c r="P4" i="20" a="1"/>
  <c r="P4" i="20" s="1"/>
  <c r="O3" i="20" a="1"/>
  <c r="O3" i="20" s="1"/>
  <c r="K4" i="20" a="1"/>
  <c r="K4" i="20" s="1"/>
  <c r="P3" i="20" a="1"/>
  <c r="P3" i="20" s="1"/>
  <c r="O2" i="20" a="1"/>
  <c r="O2" i="20" s="1"/>
  <c r="R3" i="18"/>
  <c r="T6" i="18" a="1"/>
  <c r="T6" i="18" s="1"/>
  <c r="P5" i="18" a="1"/>
  <c r="P5" i="18" s="1"/>
  <c r="T5" i="18" a="1"/>
  <c r="T5" i="18" s="1"/>
  <c r="R2" i="18"/>
  <c r="S7" i="18" a="1"/>
  <c r="S7" i="18" s="1"/>
  <c r="O3" i="18" a="1"/>
  <c r="O3" i="18" s="1"/>
  <c r="O2" i="18" a="1"/>
  <c r="O2" i="18" s="1"/>
  <c r="T4" i="18" a="1"/>
  <c r="T4" i="18" s="1"/>
  <c r="O5" i="18" a="1"/>
  <c r="O5" i="18" s="1"/>
  <c r="U8" i="18"/>
  <c r="R8" i="18"/>
  <c r="R5" i="18"/>
  <c r="R4" i="18"/>
  <c r="P7" i="18" a="1"/>
  <c r="P7" i="18" s="1"/>
  <c r="R7" i="18" s="1"/>
  <c r="O4" i="18" a="1"/>
  <c r="O4" i="18" s="1"/>
  <c r="T2" i="18" a="1"/>
  <c r="T2" i="18" s="1"/>
  <c r="P6" i="18" a="1"/>
  <c r="P6" i="18" s="1"/>
  <c r="R6" i="18" s="1"/>
  <c r="N10" i="17" a="1"/>
  <c r="N10" i="17" s="1"/>
  <c r="T8" i="17" a="1"/>
  <c r="T8" i="17" s="1"/>
  <c r="V4" i="17" a="1"/>
  <c r="V4" i="17" s="1"/>
  <c r="U5" i="17" a="1"/>
  <c r="U5" i="17" s="1"/>
  <c r="S14" i="17" a="1"/>
  <c r="S14" i="17" s="1"/>
  <c r="S2" i="17" a="1"/>
  <c r="S2" i="17" s="1"/>
  <c r="V2" i="17" a="1"/>
  <c r="V2" i="17" s="1"/>
  <c r="O6" i="17" a="1"/>
  <c r="O6" i="17" s="1"/>
  <c r="N9" i="17" a="1"/>
  <c r="N9" i="17" s="1"/>
  <c r="T6" i="17" a="1"/>
  <c r="T6" i="17" s="1"/>
  <c r="S11" i="17" a="1"/>
  <c r="S11" i="17" s="1"/>
  <c r="O10" i="17" a="1"/>
  <c r="O10" i="17" s="1"/>
  <c r="V14" i="17" a="1"/>
  <c r="V14" i="17" s="1"/>
  <c r="R8" i="17" a="1"/>
  <c r="R8" i="17" s="1"/>
  <c r="T11" i="17" a="1"/>
  <c r="T11" i="17" s="1"/>
  <c r="R7" i="17" a="1"/>
  <c r="R7" i="17" s="1"/>
  <c r="U8" i="17" a="1"/>
  <c r="U8" i="17" s="1"/>
  <c r="V11" i="17" a="1"/>
  <c r="V11" i="17" s="1"/>
  <c r="S12" i="17" a="1"/>
  <c r="S12" i="17" s="1"/>
  <c r="S10" i="17" a="1"/>
  <c r="S10" i="17" s="1"/>
  <c r="V12" i="17" a="1"/>
  <c r="V12" i="17" s="1"/>
  <c r="R14" i="17" a="1"/>
  <c r="R14" i="17" s="1"/>
  <c r="R5" i="17" a="1"/>
  <c r="R5" i="17" s="1"/>
  <c r="Y3" i="17"/>
  <c r="S4" i="17" a="1"/>
  <c r="S4" i="17" s="1"/>
  <c r="V13" i="17" a="1"/>
  <c r="V13" i="17" s="1"/>
  <c r="V3" i="17" a="1"/>
  <c r="V3" i="17" s="1"/>
  <c r="R4" i="17" a="1"/>
  <c r="R4" i="17" s="1"/>
  <c r="U14" i="17" a="1"/>
  <c r="U14" i="17" s="1"/>
  <c r="O7" i="17" a="1"/>
  <c r="O7" i="17" s="1"/>
  <c r="Y5" i="17"/>
  <c r="W5" i="17"/>
  <c r="Y12" i="17"/>
  <c r="W10" i="17"/>
  <c r="O9" i="17" a="1"/>
  <c r="O9" i="17" s="1"/>
  <c r="N12" i="17" a="1"/>
  <c r="N12" i="17" s="1"/>
  <c r="N2" i="17" a="1"/>
  <c r="N2" i="17" s="1"/>
  <c r="T10" i="17" a="1"/>
  <c r="T10" i="17" s="1"/>
  <c r="S13" i="17" a="1"/>
  <c r="S13" i="17" s="1"/>
  <c r="S3" i="17" a="1"/>
  <c r="S3" i="17" s="1"/>
  <c r="R6" i="17" a="1"/>
  <c r="R6" i="17" s="1"/>
  <c r="U7" i="17" a="1"/>
  <c r="U7" i="17" s="1"/>
  <c r="X14" i="17" a="1"/>
  <c r="X14" i="17" s="1"/>
  <c r="Y14" i="17" s="1"/>
  <c r="X4" i="17" a="1"/>
  <c r="X4" i="17" s="1"/>
  <c r="Y4" i="17" s="1"/>
  <c r="O8" i="17" a="1"/>
  <c r="O8" i="17" s="1"/>
  <c r="N11" i="17" a="1"/>
  <c r="N11" i="17" s="1"/>
  <c r="S9" i="17" a="1"/>
  <c r="S9" i="17" s="1"/>
  <c r="R12" i="17" a="1"/>
  <c r="R12" i="17" s="1"/>
  <c r="R2" i="17" a="1"/>
  <c r="R2" i="17" s="1"/>
  <c r="V10" i="17" a="1"/>
  <c r="V10" i="17" s="1"/>
  <c r="U13" i="17" a="1"/>
  <c r="U13" i="17" s="1"/>
  <c r="U2" i="17" a="1"/>
  <c r="U2" i="17" s="1"/>
  <c r="W9" i="17"/>
  <c r="V8" i="17" a="1"/>
  <c r="V8" i="17" s="1"/>
  <c r="U11" i="17" a="1"/>
  <c r="U11" i="17" s="1"/>
  <c r="T14" i="17" a="1"/>
  <c r="T14" i="17" s="1"/>
  <c r="T4" i="17" a="1"/>
  <c r="T4" i="17" s="1"/>
  <c r="S7" i="17" a="1"/>
  <c r="S7" i="17" s="1"/>
  <c r="R10" i="17" a="1"/>
  <c r="R10" i="17" s="1"/>
  <c r="X11" i="17" a="1"/>
  <c r="X11" i="17" s="1"/>
  <c r="Y11" i="17" s="1"/>
  <c r="N7" i="17" a="1"/>
  <c r="N7" i="17" s="1"/>
  <c r="X9" i="17" a="1"/>
  <c r="X9" i="17" s="1"/>
  <c r="Y9" i="17" s="1"/>
  <c r="O12" i="17" a="1"/>
  <c r="O12" i="17" s="1"/>
  <c r="O2" i="17" a="1"/>
  <c r="O2" i="17" s="1"/>
  <c r="Q2" i="17" s="1"/>
  <c r="N5" i="17" a="1"/>
  <c r="N5" i="17" s="1"/>
  <c r="N8" i="17" a="1"/>
  <c r="N8" i="17" s="1"/>
  <c r="W12" i="17"/>
  <c r="U12" i="17" a="1"/>
  <c r="U12" i="17" s="1"/>
  <c r="R11" i="17" a="1"/>
  <c r="R11" i="17" s="1"/>
  <c r="O13" i="17" a="1"/>
  <c r="O13" i="17" s="1"/>
  <c r="V7" i="17" a="1"/>
  <c r="V7" i="17" s="1"/>
  <c r="U10" i="17" a="1"/>
  <c r="U10" i="17" s="1"/>
  <c r="T13" i="17" a="1"/>
  <c r="T13" i="17" s="1"/>
  <c r="S6" i="17" a="1"/>
  <c r="S6" i="17" s="1"/>
  <c r="R9" i="17" a="1"/>
  <c r="R9" i="17" s="1"/>
  <c r="R13" i="17" a="1"/>
  <c r="R13" i="17" s="1"/>
  <c r="Y13" i="17"/>
  <c r="Q13" i="17" s="1"/>
  <c r="O4" i="17" a="1"/>
  <c r="O4" i="17" s="1"/>
  <c r="O3" i="17" a="1"/>
  <c r="O3" i="17" s="1"/>
  <c r="T3" i="17" a="1"/>
  <c r="T3" i="17" s="1"/>
  <c r="X7" i="17" a="1"/>
  <c r="X7" i="17" s="1"/>
  <c r="Y7" i="17" s="1"/>
  <c r="O11" i="17" a="1"/>
  <c r="O11" i="17" s="1"/>
  <c r="N14" i="17" a="1"/>
  <c r="N14" i="17" s="1"/>
  <c r="N4" i="17" a="1"/>
  <c r="N4" i="17" s="1"/>
  <c r="O5" i="17" a="1"/>
  <c r="O5" i="17" s="1"/>
  <c r="X10" i="17" a="1"/>
  <c r="X10" i="17" s="1"/>
  <c r="Y10" i="17" s="1"/>
  <c r="T5" i="17" a="1"/>
  <c r="T5" i="17" s="1"/>
  <c r="S5" i="17" a="1"/>
  <c r="S5" i="17" s="1"/>
  <c r="U3" i="17" a="1"/>
  <c r="U3" i="17" s="1"/>
  <c r="O14" i="17" a="1"/>
  <c r="O14" i="17" s="1"/>
  <c r="S8" i="17" a="1"/>
  <c r="S8" i="17" s="1"/>
  <c r="X8" i="17" a="1"/>
  <c r="X8" i="17" s="1"/>
  <c r="Y8" i="17" s="1"/>
  <c r="U9" i="17" a="1"/>
  <c r="U9" i="17" s="1"/>
  <c r="T2" i="17" a="1"/>
  <c r="T2" i="17" s="1"/>
  <c r="X6" i="17" a="1"/>
  <c r="X6" i="17" s="1"/>
  <c r="Y6" i="17" s="1"/>
  <c r="Q6" i="17" s="1"/>
  <c r="W3" i="17"/>
  <c r="N13" i="17" a="1"/>
  <c r="N13" i="17" s="1"/>
  <c r="N3" i="17" a="1"/>
  <c r="N3" i="17" s="1"/>
  <c r="R3" i="17" a="1"/>
  <c r="R3" i="17" s="1"/>
  <c r="V9" i="17" a="1"/>
  <c r="V9" i="17" s="1"/>
  <c r="N6" i="17" a="1"/>
  <c r="N6" i="17" s="1"/>
  <c r="V6" i="17" a="1"/>
  <c r="V6" i="17" s="1"/>
  <c r="T12" i="17" a="1"/>
  <c r="T12" i="17" s="1"/>
  <c r="V5" i="17" a="1"/>
  <c r="V5" i="17" s="1"/>
  <c r="Q10" i="17" l="1"/>
  <c r="Q14" i="17"/>
  <c r="Q9" i="17"/>
  <c r="Q7" i="17"/>
  <c r="Q4" i="17"/>
  <c r="Q3" i="17"/>
  <c r="Q11" i="17"/>
  <c r="Q12" i="17"/>
  <c r="Q8" i="17"/>
  <c r="Q5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\\filur03.it.liu.se\students\basad559\downloads\lab2_data_files\team04_uppgift2_1d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\\filur03.it.liu.se\students\basad559\downloads\lab2_data_files\team04_uppgift2_1d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\\filur03.it.liu.se\students\basad559\downloads\lab2_data_files\team04_uppgift2_1d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\\filur03.it.liu.se\students\basad559\downloads\lab2_data_files\team04_uppgift2_1d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\\filur03.it.liu.se\students\basad559\downloads\lab2_data_files\team04_uppgift2_1d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\\filur03.it.liu.se\students\basad559\downloads\lab2_data_files\team04_uppgift2_1d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<sst xmlns="http://schemas.openxmlformats.org/spreadsheetml/2006/main" count="388" uniqueCount="105">
  <si>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</si>
  <si>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</si>
  <si>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</si>
  <si>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</si>
  <si>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</si>
  <si>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</si>
  <si>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</si>
  <si>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</si>
  <si>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</si>
  <si>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</si>
  <si>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</si>
  <si>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</si>
  <si>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</si>
  <si>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</si>
  <si>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</si>
  <si>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</si>
  <si>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</si>
  <si>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</si>
  <si>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</si>
  <si>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</si>
  <si>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</si>
  <si>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</si>
  <si>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</si>
  <si>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</si>
  <si>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</si>
  <si>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</si>
  <si>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</si>
  <si>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</si>
  <si>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</si>
  <si>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</si>
  <si>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</si>
  <si>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</si>
  <si>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</si>
  <si>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</si>
  <si>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</si>
  <si>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</si>
  <si>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</si>
  <si>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</si>
  <si>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</si>
  <si>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</si>
  <si>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</si>
  <si>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</si>
  <si>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</si>
  <si>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</si>
  <si>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</si>
  <si>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</si>
  <si>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</si>
  <si>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</si>
  <si>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</si>
  <si>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</si>
  <si>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</si>
  <si>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</si>
  <si>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</si>
  <si>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</si>
  <si>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</si>
  <si>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</si>
  <si>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</si>
  <si>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</si>
  <si>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</si>
  <si>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</si>
  <si>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</si>
  <si>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</si>
  <si>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</si>
  <si>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</si>
  <si>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</si>
  <si>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</si>
  <si>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</si>
  <si>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</si>
  <si>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</si>
  <si>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\\filur03.it.liu.se\students\basad559\Downloads\lab2_data_files\team04_uppgift2_1d.p</t>
  </si>
  <si>
    <t>2026-02-04 16:39:38</t>
  </si>
  <si>
    <t>Checkin desk.Queue</t>
  </si>
  <si>
    <t>Waiting Time</t>
  </si>
  <si>
    <t>Queue</t>
  </si>
  <si>
    <t>Type 1 Passenger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</si>
  <si>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</si>
  <si>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</si>
  <si>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</si>
  <si>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</si>
  <si>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</si>
  <si>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</si>
  <si>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</si>
  <si>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Type 2 Passenger</t>
  </si>
  <si>
    <t>Checkin agent</t>
  </si>
  <si>
    <t>Instantaneous Utilization</t>
  </si>
  <si>
    <t>Resource</t>
  </si>
  <si>
    <t>Number Busy</t>
  </si>
  <si>
    <t>Number Scheduled</t>
  </si>
  <si>
    <t>Number Waiting</t>
  </si>
  <si>
    <t>Passenger</t>
  </si>
  <si>
    <t>WIP</t>
  </si>
  <si>
    <t>Checkin agent.NumberSeized</t>
  </si>
  <si>
    <t>Total Number Seized</t>
  </si>
  <si>
    <t>Checkin agent.ScheduledUtilization</t>
  </si>
  <si>
    <t>Scheduled Utilization</t>
  </si>
  <si>
    <t>Passenger.NumberIn</t>
  </si>
  <si>
    <t>Number In</t>
  </si>
  <si>
    <t>Passenger.NumberOut</t>
  </si>
  <si>
    <t>Number Out</t>
  </si>
  <si>
    <t>System.NumberOut</t>
  </si>
  <si>
    <t>System</t>
  </si>
  <si>
    <t>Type 1 Passenger.NumberIn</t>
  </si>
  <si>
    <t>Type 1 Passenger.NumberOut</t>
  </si>
  <si>
    <t>Type 2 Passenger.NumberIn</t>
  </si>
  <si>
    <t>Type 2 Passenger.NumberOut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</si>
</sst>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7.694265046295" createdVersion="7" refreshedVersion="8" minRefreshableVersion="3" recordCount="13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2">
        <s v="Checkin desk.Queue"/>
        <s v="Type 1 Passenger"/>
        <s v="Type 2 Passenger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8.843769140052199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12.6370929017145"/>
    </cacheField>
    <cacheField name="Maximum" numFmtId="0">
      <sharedItems containsSemiMixedTypes="0" containsString="0" containsNumber="1" minValue="0" maxValue="31.7211952087432"/>
    </cacheField>
    <cacheField name="NumberObservations" numFmtId="0">
      <sharedItems containsSemiMixedTypes="0" containsString="0" containsNumber="1" containsInteger="1" minValue="221" maxValue="647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18.8437691400521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18.843769140052199"/>
    </cacheField>
    <cacheField name="MaximumAverage" numFmtId="0">
      <sharedItems containsSemiMixedTypes="0" containsString="0" containsNumber="1" minValue="0" maxValue="18.843769140052199"/>
    </cacheField>
    <cacheField name="OverallMinimum" numFmtId="0">
      <sharedItems containsSemiMixedTypes="0" containsString="0" containsNumber="1" minValue="0" maxValue="12.6370929017145"/>
    </cacheField>
    <cacheField name="OverallMaximum" numFmtId="0">
      <sharedItems containsSemiMixedTypes="0" containsString="0" containsNumber="1" minValue="0" maxValue="31.7211952087432"/>
    </cacheField>
    <cacheField name="AverageNumberObservations" numFmtId="0">
      <sharedItems containsSemiMixedTypes="0" containsString="0" containsNumber="1" containsInteger="1" minValue="221" maxValue="647"/>
    </cacheField>
    <cacheField name="SummaryHalfWidth" numFmtId="0">
      <sharedItems containsSemiMixedTypes="0" containsString="0" containsNumber="1" minValue="0" maxValue="3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7.694265046295" createdVersion="7" refreshedVersion="8" minRefreshableVersion="3" recordCount="9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7">
        <s v="Checkin agent.NumberSeized"/>
        <s v="Checkin agent.ScheduledUtilization"/>
        <s v="Passenger.NumberIn"/>
        <s v="Passenger.NumberOut"/>
        <s v="System.NumberOut"/>
        <s v="Type 1 Passenger.NumberIn"/>
        <s v="Type 1 Passenger.NumberOut"/>
        <s v="Type 2 Passenger.NumberIn"/>
        <s v="Type 2 Passenger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" maxValue="647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" maxValue="647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" maxValue="647"/>
    </cacheField>
    <cacheField name="Maximum" numFmtId="0">
      <sharedItems containsSemiMixedTypes="0" containsString="0" containsNumber="1" minValue="0" maxValue="6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7.694265162034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7.694265162034" createdVersion="7" refreshedVersion="8" minRefreshableVersion="3" recordCount="7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9">
        <s v="Checkin agent"/>
        <s v="Checkin desk.Queue"/>
        <s v="Passenger"/>
        <s v="Type 1 Passenger"/>
        <s v="Type 2 Passenger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6.3419961880207296"/>
    </cacheField>
    <cacheField name="BatchMeansHalfWidth" numFmtId="0">
      <sharedItems containsSemiMixedTypes="0" containsString="0" containsNumber="1" containsInteger="1" minValue="2E+20" maxValue="3E+20"/>
    </cacheField>
    <cacheField name="Minimum" numFmtId="0">
      <sharedItems containsSemiMixedTypes="0" containsString="0" containsNumber="1" containsInteger="1" minValue="0" maxValue="6"/>
    </cacheField>
    <cacheField name="Maximum" numFmtId="0">
      <sharedItems containsSemiMixedTypes="0" containsString="0" containsNumber="1" containsInteger="1" minValue="0" maxValue="15"/>
    </cacheField>
    <cacheField name="LastRecordedValue" numFmtId="0">
      <sharedItems containsSemiMixedTypes="0" containsString="0" containsNumber="1" minValue="0" maxValue="7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6.3419961880207296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6.3419961880207296"/>
    </cacheField>
    <cacheField name="MaximumAverage" numFmtId="0">
      <sharedItems containsSemiMixedTypes="0" containsString="0" containsNumber="1" minValue="0" maxValue="6.3419961880207296"/>
    </cacheField>
    <cacheField name="SummaryHalfWidth" numFmtId="0">
      <sharedItems containsSemiMixedTypes="0" containsString="0" containsNumber="1" containsInteger="1" minValue="2E+20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57.69426527778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s v="2026-02-04 16:39:38"/>
    <n v="1"/>
    <x v="0"/>
    <x v="0"/>
    <x v="0"/>
    <n v="2.6640226121623698"/>
    <n v="3E+20"/>
    <n v="0"/>
    <n v="15.640882604942099"/>
    <n v="647"/>
    <s v="Unnamed ProjectCheckin desk.QueueWaiting TimeQueue"/>
    <n v="1"/>
    <n v="2.6640226121623698"/>
    <n v="0"/>
    <n v="0.95"/>
    <n v="4E+20"/>
    <n v="2.6640226121623698"/>
    <n v="2.6640226121623698"/>
    <n v="0"/>
    <n v="15.640882604942099"/>
    <n v="647"/>
    <n v="3E+20"/>
    <n v="1"/>
    <n v="1"/>
  </r>
  <r>
    <x v="0"/>
    <s v="2026-02-04 16:39:38"/>
    <n v="1"/>
    <x v="1"/>
    <x v="1"/>
    <x v="1"/>
    <n v="0"/>
    <n v="0"/>
    <n v="0"/>
    <n v="0"/>
    <n v="424"/>
    <s v="Unnamed ProjectType 1 PassengerNVA TimeEntity"/>
    <n v="1"/>
    <n v="0"/>
    <n v="0"/>
    <n v="0.95"/>
    <n v="4E+20"/>
    <n v="0"/>
    <n v="0"/>
    <n v="0"/>
    <n v="0"/>
    <n v="424"/>
    <n v="0"/>
    <n v="1"/>
    <n v="1"/>
  </r>
  <r>
    <x v="0"/>
    <s v="2026-02-04 16:39:38"/>
    <n v="1"/>
    <x v="1"/>
    <x v="2"/>
    <x v="1"/>
    <n v="0"/>
    <n v="0"/>
    <n v="0"/>
    <n v="0"/>
    <n v="424"/>
    <s v="Unnamed ProjectType 1 PassengerOther TimeEntity"/>
    <n v="1"/>
    <n v="0"/>
    <n v="0"/>
    <n v="0.95"/>
    <n v="4E+20"/>
    <n v="0"/>
    <n v="0"/>
    <n v="0"/>
    <n v="0"/>
    <n v="424"/>
    <n v="0"/>
    <n v="1"/>
    <n v="1"/>
  </r>
  <r>
    <x v="0"/>
    <s v="2026-02-04 16:39:38"/>
    <n v="1"/>
    <x v="1"/>
    <x v="3"/>
    <x v="1"/>
    <n v="13.761604709733"/>
    <n v="3E+20"/>
    <n v="7.8273033630930504"/>
    <n v="27.730276150372902"/>
    <n v="424"/>
    <s v="Unnamed ProjectType 1 PassengerTotal TimeEntity"/>
    <n v="1"/>
    <n v="13.761604709733"/>
    <n v="0"/>
    <n v="0.95"/>
    <n v="4E+20"/>
    <n v="13.761604709733"/>
    <n v="13.761604709733"/>
    <n v="7.8273033630930504"/>
    <n v="27.730276150372902"/>
    <n v="424"/>
    <n v="3E+20"/>
    <n v="1"/>
    <n v="1"/>
  </r>
  <r>
    <x v="0"/>
    <s v="2026-02-04 16:39:38"/>
    <n v="1"/>
    <x v="1"/>
    <x v="4"/>
    <x v="1"/>
    <n v="4.9722528048969803"/>
    <n v="3.3705245472059699E-2"/>
    <n v="4.0498155507751799"/>
    <n v="5.9811280020642501"/>
    <n v="424"/>
    <s v="Unnamed ProjectType 1 PassengerTransfer TimeEntity"/>
    <n v="1"/>
    <n v="4.9722528048969803"/>
    <n v="0"/>
    <n v="0.95"/>
    <n v="4E+20"/>
    <n v="4.9722528048969803"/>
    <n v="4.9722528048969803"/>
    <n v="4.0498155507751799"/>
    <n v="5.9811280020642501"/>
    <n v="424"/>
    <n v="3.3705245472059699E-2"/>
    <n v="1"/>
    <n v="1"/>
  </r>
  <r>
    <x v="0"/>
    <s v="2026-02-04 16:39:38"/>
    <n v="1"/>
    <x v="1"/>
    <x v="5"/>
    <x v="1"/>
    <n v="6.1310703279680503"/>
    <n v="0.151978265121681"/>
    <n v="3.2268386655157402"/>
    <n v="12.7500392871925"/>
    <n v="424"/>
    <s v="Unnamed ProjectType 1 PassengerVA TimeEntity"/>
    <n v="1"/>
    <n v="6.1310703279680503"/>
    <n v="0"/>
    <n v="0.95"/>
    <n v="4E+20"/>
    <n v="6.1310703279680503"/>
    <n v="6.1310703279680503"/>
    <n v="3.2268386655157402"/>
    <n v="12.7500392871925"/>
    <n v="424"/>
    <n v="0.151978265121681"/>
    <n v="1"/>
    <n v="1"/>
  </r>
  <r>
    <x v="0"/>
    <s v="2026-02-04 16:39:38"/>
    <n v="1"/>
    <x v="1"/>
    <x v="6"/>
    <x v="1"/>
    <n v="2.65828157686797"/>
    <n v="3E+20"/>
    <n v="0"/>
    <n v="15.640882604942099"/>
    <n v="424"/>
    <s v="Unnamed ProjectType 1 PassengerWait TimeEntity"/>
    <n v="1"/>
    <n v="2.65828157686797"/>
    <n v="0"/>
    <n v="0.95"/>
    <n v="4E+20"/>
    <n v="2.65828157686797"/>
    <n v="2.65828157686797"/>
    <n v="0"/>
    <n v="15.640882604942099"/>
    <n v="424"/>
    <n v="3E+20"/>
    <n v="1"/>
    <n v="1"/>
  </r>
  <r>
    <x v="0"/>
    <s v="2026-02-04 16:39:38"/>
    <n v="1"/>
    <x v="2"/>
    <x v="1"/>
    <x v="1"/>
    <n v="0"/>
    <n v="2E+20"/>
    <n v="0"/>
    <n v="0"/>
    <n v="221"/>
    <s v="Unnamed ProjectType 2 PassengerNVA TimeEntity"/>
    <n v="1"/>
    <n v="0"/>
    <n v="0"/>
    <n v="0.95"/>
    <n v="4E+20"/>
    <n v="0"/>
    <n v="0"/>
    <n v="0"/>
    <n v="0"/>
    <n v="221"/>
    <n v="2E+20"/>
    <n v="1"/>
    <n v="1"/>
  </r>
  <r>
    <x v="0"/>
    <s v="2026-02-04 16:39:38"/>
    <n v="1"/>
    <x v="2"/>
    <x v="2"/>
    <x v="1"/>
    <n v="0"/>
    <n v="2E+20"/>
    <n v="0"/>
    <n v="0"/>
    <n v="221"/>
    <s v="Unnamed ProjectType 2 PassengerOther TimeEntity"/>
    <n v="1"/>
    <n v="0"/>
    <n v="0"/>
    <n v="0.95"/>
    <n v="4E+20"/>
    <n v="0"/>
    <n v="0"/>
    <n v="0"/>
    <n v="0"/>
    <n v="221"/>
    <n v="2E+20"/>
    <n v="1"/>
    <n v="1"/>
  </r>
  <r>
    <x v="0"/>
    <s v="2026-02-04 16:39:38"/>
    <n v="1"/>
    <x v="2"/>
    <x v="3"/>
    <x v="1"/>
    <n v="18.843769140052199"/>
    <n v="2E+20"/>
    <n v="12.6370929017145"/>
    <n v="31.7211952087432"/>
    <n v="221"/>
    <s v="Unnamed ProjectType 2 PassengerTotal TimeEntity"/>
    <n v="1"/>
    <n v="18.843769140052199"/>
    <n v="0"/>
    <n v="0.95"/>
    <n v="4E+20"/>
    <n v="18.843769140052199"/>
    <n v="18.843769140052199"/>
    <n v="12.6370929017145"/>
    <n v="31.7211952087432"/>
    <n v="221"/>
    <n v="2E+20"/>
    <n v="1"/>
    <n v="1"/>
  </r>
  <r>
    <x v="0"/>
    <s v="2026-02-04 16:39:38"/>
    <n v="1"/>
    <x v="2"/>
    <x v="4"/>
    <x v="1"/>
    <n v="4.9647095848961902"/>
    <n v="2E+20"/>
    <n v="4.1923959781906301"/>
    <n v="5.8588651214964802"/>
    <n v="221"/>
    <s v="Unnamed ProjectType 2 PassengerTransfer TimeEntity"/>
    <n v="1"/>
    <n v="4.9647095848961902"/>
    <n v="0"/>
    <n v="0.95"/>
    <n v="4E+20"/>
    <n v="4.9647095848961902"/>
    <n v="4.9647095848961902"/>
    <n v="4.1923959781906301"/>
    <n v="5.8588651214964802"/>
    <n v="221"/>
    <n v="2E+20"/>
    <n v="1"/>
    <n v="1"/>
  </r>
  <r>
    <x v="0"/>
    <s v="2026-02-04 16:39:38"/>
    <n v="1"/>
    <x v="2"/>
    <x v="5"/>
    <x v="1"/>
    <n v="11.179913666119701"/>
    <n v="2E+20"/>
    <n v="7.5200958002754996"/>
    <n v="19.067759829024599"/>
    <n v="221"/>
    <s v="Unnamed ProjectType 2 PassengerVA TimeEntity"/>
    <n v="1"/>
    <n v="11.179913666119701"/>
    <n v="0"/>
    <n v="0.95"/>
    <n v="4E+20"/>
    <n v="11.179913666119701"/>
    <n v="11.179913666119701"/>
    <n v="7.5200958002754996"/>
    <n v="19.067759829024599"/>
    <n v="221"/>
    <n v="2E+20"/>
    <n v="1"/>
    <n v="1"/>
  </r>
  <r>
    <x v="0"/>
    <s v="2026-02-04 16:39:38"/>
    <n v="1"/>
    <x v="2"/>
    <x v="6"/>
    <x v="1"/>
    <n v="2.69914588903635"/>
    <n v="2E+20"/>
    <n v="0"/>
    <n v="15.082260948096501"/>
    <n v="221"/>
    <s v="Unnamed ProjectType 2 PassengerWait TimeEntity"/>
    <n v="1"/>
    <n v="2.69914588903635"/>
    <n v="0"/>
    <n v="0.95"/>
    <n v="4E+20"/>
    <n v="2.69914588903635"/>
    <n v="2.69914588903635"/>
    <n v="0"/>
    <n v="15.082260948096501"/>
    <n v="221"/>
    <n v="2E+20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s v="2026-02-04 16:39:38"/>
    <n v="1"/>
    <x v="0"/>
    <x v="0"/>
    <x v="0"/>
    <n v="647"/>
    <n v="0"/>
    <s v="Unnamed ProjectCheckin agent.NumberSeizedTotal Number SeizedResource"/>
    <n v="1"/>
    <n v="647"/>
    <n v="0"/>
    <n v="0.95"/>
    <n v="4E+20"/>
    <n v="647"/>
    <n v="647"/>
  </r>
  <r>
    <x v="0"/>
    <s v="2026-02-04 16:39:38"/>
    <n v="1"/>
    <x v="1"/>
    <x v="1"/>
    <x v="0"/>
    <n v="0.83341378558711199"/>
    <n v="0"/>
    <s v="Unnamed ProjectCheckin agent.ScheduledUtilizationScheduled UtilizationResource"/>
    <n v="1"/>
    <n v="0.83341378558711199"/>
    <n v="0"/>
    <n v="0.95"/>
    <n v="4E+20"/>
    <n v="0.83341378558711199"/>
    <n v="0.83341378558711199"/>
  </r>
  <r>
    <x v="0"/>
    <s v="2026-02-04 16:39:38"/>
    <n v="1"/>
    <x v="2"/>
    <x v="2"/>
    <x v="1"/>
    <n v="0"/>
    <n v="0"/>
    <s v="Unnamed ProjectPassenger.NumberInNumber InEntity"/>
    <n v="1"/>
    <n v="0"/>
    <n v="0"/>
    <n v="0.95"/>
    <n v="4E+20"/>
    <n v="0"/>
    <n v="0"/>
  </r>
  <r>
    <x v="0"/>
    <s v="2026-02-04 16:39:38"/>
    <n v="1"/>
    <x v="3"/>
    <x v="3"/>
    <x v="1"/>
    <n v="0"/>
    <n v="0"/>
    <s v="Unnamed ProjectPassenger.NumberOutNumber OutEntity"/>
    <n v="1"/>
    <n v="0"/>
    <n v="0"/>
    <n v="0.95"/>
    <n v="4E+20"/>
    <n v="0"/>
    <n v="0"/>
  </r>
  <r>
    <x v="0"/>
    <s v="2026-02-04 16:39:38"/>
    <n v="1"/>
    <x v="4"/>
    <x v="3"/>
    <x v="2"/>
    <n v="645"/>
    <n v="0"/>
    <s v="Unnamed ProjectSystem.NumberOutNumber OutSystem"/>
    <n v="1"/>
    <n v="645"/>
    <n v="0"/>
    <n v="0.95"/>
    <n v="4E+20"/>
    <n v="645"/>
    <n v="645"/>
  </r>
  <r>
    <x v="0"/>
    <s v="2026-02-04 16:39:38"/>
    <n v="1"/>
    <x v="5"/>
    <x v="2"/>
    <x v="1"/>
    <n v="427"/>
    <n v="0"/>
    <s v="Unnamed ProjectType 1 Passenger.NumberInNumber InEntity"/>
    <n v="1"/>
    <n v="427"/>
    <n v="0"/>
    <n v="0.95"/>
    <n v="4E+20"/>
    <n v="427"/>
    <n v="427"/>
  </r>
  <r>
    <x v="0"/>
    <s v="2026-02-04 16:39:38"/>
    <n v="1"/>
    <x v="6"/>
    <x v="3"/>
    <x v="1"/>
    <n v="424"/>
    <n v="0"/>
    <s v="Unnamed ProjectType 1 Passenger.NumberOutNumber OutEntity"/>
    <n v="1"/>
    <n v="424"/>
    <n v="0"/>
    <n v="0.95"/>
    <n v="4E+20"/>
    <n v="424"/>
    <n v="424"/>
  </r>
  <r>
    <x v="0"/>
    <s v="2026-02-04 16:39:38"/>
    <n v="1"/>
    <x v="7"/>
    <x v="2"/>
    <x v="1"/>
    <n v="221"/>
    <n v="0"/>
    <s v="Unnamed ProjectType 2 Passenger.NumberInNumber InEntity"/>
    <n v="1"/>
    <n v="221"/>
    <n v="0"/>
    <n v="0.95"/>
    <n v="4E+20"/>
    <n v="221"/>
    <n v="221"/>
  </r>
  <r>
    <x v="0"/>
    <s v="2026-02-04 16:39:38"/>
    <n v="1"/>
    <x v="8"/>
    <x v="3"/>
    <x v="1"/>
    <n v="221"/>
    <n v="0"/>
    <s v="Unnamed ProjectType 2 Passenger.NumberOutNumber OutEntity"/>
    <n v="1"/>
    <n v="221"/>
    <n v="0"/>
    <n v="0.95"/>
    <n v="4E+20"/>
    <n v="221"/>
    <n v="22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6-02-04 16:39:38"/>
    <n v="1"/>
    <x v="0"/>
    <x v="0"/>
    <x v="0"/>
    <n v="0.83774555145906004"/>
    <n v="3E+20"/>
    <n v="0"/>
    <n v="1"/>
    <n v="0.14285714285714299"/>
    <n v="0"/>
    <s v="Unnamed ProjectCheckin agentInstantaneous UtilizationResource"/>
    <n v="1"/>
    <n v="0.83774555145906004"/>
    <n v="0"/>
    <n v="0.95"/>
    <n v="4E+20"/>
    <n v="0.83774555145906004"/>
    <n v="0.83774555145906004"/>
    <n v="3E+20"/>
  </r>
  <r>
    <x v="0"/>
    <s v="2026-02-04 16:39:38"/>
    <n v="1"/>
    <x v="0"/>
    <x v="1"/>
    <x v="0"/>
    <n v="5.2855070512373903"/>
    <n v="3E+20"/>
    <n v="0"/>
    <n v="7"/>
    <n v="1"/>
    <n v="0"/>
    <s v="Unnamed ProjectCheckin agentNumber BusyResource"/>
    <n v="1"/>
    <n v="5.2855070512373903"/>
    <n v="0"/>
    <n v="0.95"/>
    <n v="4E+20"/>
    <n v="5.2855070512373903"/>
    <n v="5.2855070512373903"/>
    <n v="3E+20"/>
  </r>
  <r>
    <x v="0"/>
    <s v="2026-02-04 16:39:38"/>
    <n v="1"/>
    <x v="0"/>
    <x v="2"/>
    <x v="0"/>
    <n v="6.3419961880207296"/>
    <n v="2E+20"/>
    <n v="6"/>
    <n v="7"/>
    <n v="7"/>
    <n v="0"/>
    <s v="Unnamed ProjectCheckin agentNumber ScheduledResource"/>
    <n v="1"/>
    <n v="6.3419961880207296"/>
    <n v="0"/>
    <n v="0.95"/>
    <n v="4E+20"/>
    <n v="6.3419961880207296"/>
    <n v="6.3419961880207296"/>
    <n v="2E+20"/>
  </r>
  <r>
    <x v="0"/>
    <s v="2026-02-04 16:39:38"/>
    <n v="1"/>
    <x v="1"/>
    <x v="3"/>
    <x v="1"/>
    <n v="1.79544023965526"/>
    <n v="3E+20"/>
    <n v="0"/>
    <n v="13"/>
    <n v="0"/>
    <n v="0"/>
    <s v="Unnamed ProjectCheckin desk.QueueNumber WaitingQueue"/>
    <n v="1"/>
    <n v="1.79544023965526"/>
    <n v="0"/>
    <n v="0.95"/>
    <n v="4E+20"/>
    <n v="1.79544023965526"/>
    <n v="1.79544023965526"/>
    <n v="3E+20"/>
  </r>
  <r>
    <x v="0"/>
    <s v="2026-02-04 16:39:38"/>
    <n v="1"/>
    <x v="2"/>
    <x v="4"/>
    <x v="2"/>
    <n v="0"/>
    <n v="2E+20"/>
    <n v="0"/>
    <n v="0"/>
    <n v="0"/>
    <n v="0"/>
    <s v="Unnamed ProjectPassengerWIPEntity"/>
    <n v="1"/>
    <n v="0"/>
    <n v="0"/>
    <n v="0.95"/>
    <n v="4E+20"/>
    <n v="0"/>
    <n v="0"/>
    <n v="2E+20"/>
  </r>
  <r>
    <x v="0"/>
    <s v="2026-02-04 16:39:38"/>
    <n v="1"/>
    <x v="3"/>
    <x v="4"/>
    <x v="2"/>
    <n v="6.0906899152116099"/>
    <n v="3E+20"/>
    <n v="0"/>
    <n v="15"/>
    <n v="3"/>
    <n v="0"/>
    <s v="Unnamed ProjectType 1 PassengerWIPEntity"/>
    <n v="1"/>
    <n v="6.0906899152116099"/>
    <n v="0"/>
    <n v="0.95"/>
    <n v="4E+20"/>
    <n v="6.0906899152116099"/>
    <n v="6.0906899152116099"/>
    <n v="3E+20"/>
  </r>
  <r>
    <x v="0"/>
    <s v="2026-02-04 16:39:38"/>
    <n v="1"/>
    <x v="4"/>
    <x v="4"/>
    <x v="2"/>
    <n v="4.3379926874495203"/>
    <n v="3E+20"/>
    <n v="0"/>
    <n v="11"/>
    <n v="0"/>
    <n v="0"/>
    <s v="Unnamed ProjectType 2 PassengerWIPEntity"/>
    <n v="1"/>
    <n v="4.3379926874495203"/>
    <n v="0"/>
    <n v="0.95"/>
    <n v="4E+20"/>
    <n v="4.3379926874495203"/>
    <n v="4.3379926874495203"/>
    <n v="3E+2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8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5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2">
        <item m="1" x="13"/>
        <item m="1" x="36"/>
        <item m="1" x="8"/>
        <item m="1" x="88"/>
        <item m="1" x="71"/>
        <item m="1" x="41"/>
        <item m="1" x="97"/>
        <item m="1" x="29"/>
        <item m="1" x="33"/>
        <item m="1" x="100"/>
        <item m="1" x="66"/>
        <item m="1" x="78"/>
        <item m="1" x="83"/>
        <item m="1" x="7"/>
        <item m="1" x="35"/>
        <item m="1" x="25"/>
        <item m="1" x="101"/>
        <item m="1" x="95"/>
        <item m="1" x="23"/>
        <item m="1" x="17"/>
        <item m="1" x="89"/>
        <item m="1" x="9"/>
        <item m="1" x="42"/>
        <item m="1" x="28"/>
        <item m="1" x="53"/>
        <item m="1" x="80"/>
        <item m="1" x="44"/>
        <item m="1" x="14"/>
        <item m="1" x="38"/>
        <item m="1" x="67"/>
        <item m="1" x="57"/>
        <item m="1" x="15"/>
        <item m="1" x="74"/>
        <item m="1" x="6"/>
        <item m="1" x="94"/>
        <item m="1" x="62"/>
        <item m="1" x="82"/>
        <item m="1" x="37"/>
        <item m="1" x="96"/>
        <item m="1" x="65"/>
        <item m="1" x="19"/>
        <item m="1" x="56"/>
        <item m="1" x="70"/>
        <item m="1" x="81"/>
        <item m="1" x="87"/>
        <item m="1" x="5"/>
        <item m="1" x="18"/>
        <item m="1" x="27"/>
        <item m="1" x="20"/>
        <item m="1" x="4"/>
        <item m="1" x="79"/>
        <item m="1" x="91"/>
        <item m="1" x="31"/>
        <item m="1" x="61"/>
        <item m="1" x="22"/>
        <item m="1" x="39"/>
        <item m="1" x="26"/>
        <item m="1" x="47"/>
        <item m="1" x="34"/>
        <item m="1" x="54"/>
        <item m="1" x="40"/>
        <item m="1" x="63"/>
        <item m="1" x="48"/>
        <item m="1" x="68"/>
        <item m="1" x="55"/>
        <item m="1" x="76"/>
        <item m="1" x="69"/>
        <item m="1" x="84"/>
        <item m="1" x="92"/>
        <item m="1" x="72"/>
        <item m="1" x="51"/>
        <item m="1" x="32"/>
        <item m="1" x="45"/>
        <item m="1" x="16"/>
        <item m="1" x="21"/>
        <item m="1" x="30"/>
        <item m="1" x="58"/>
        <item m="1" x="93"/>
        <item m="1" x="86"/>
        <item m="1" x="73"/>
        <item m="1" x="46"/>
        <item m="1" x="59"/>
        <item m="1" x="50"/>
        <item m="1" x="75"/>
        <item m="1" x="60"/>
        <item m="1" x="43"/>
        <item m="1" x="49"/>
        <item m="1" x="12"/>
        <item m="1" x="52"/>
        <item m="1" x="64"/>
        <item m="1" x="77"/>
        <item m="1" x="85"/>
        <item m="1" x="90"/>
        <item m="1" x="99"/>
        <item m="1" x="10"/>
        <item m="1" x="24"/>
        <item m="1" x="98"/>
        <item m="1" x="11"/>
        <item m="1" x="3"/>
        <item x="0"/>
        <item x="1"/>
        <item x="2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3">
    <i>
      <x v="3"/>
      <x v="99"/>
      <x v="7"/>
      <x v="1"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1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1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7">
        <item m="1" x="34"/>
        <item m="1" x="10"/>
        <item m="1" x="35"/>
        <item m="1" x="11"/>
        <item m="1" x="36"/>
        <item m="1" x="12"/>
        <item m="1" x="37"/>
        <item m="1" x="13"/>
        <item m="1" x="69"/>
        <item m="1" x="24"/>
        <item x="4"/>
        <item m="1" x="68"/>
        <item m="1" x="55"/>
        <item m="1" x="72"/>
        <item m="1" x="57"/>
        <item m="1" x="73"/>
        <item m="1" x="80"/>
        <item m="1" x="49"/>
        <item m="1" x="17"/>
        <item m="1" x="66"/>
        <item m="1" x="56"/>
        <item m="1" x="54"/>
        <item m="1" x="20"/>
        <item m="1" x="64"/>
        <item m="1" x="29"/>
        <item m="1" x="65"/>
        <item m="1" x="30"/>
        <item m="1" x="63"/>
        <item m="1" x="83"/>
        <item m="1" x="23"/>
        <item m="1" x="86"/>
        <item m="1" x="51"/>
        <item m="1" x="18"/>
        <item m="1" x="81"/>
        <item m="1" x="76"/>
        <item m="1" x="52"/>
        <item m="1" x="19"/>
        <item m="1" x="82"/>
        <item m="1" x="77"/>
        <item m="1" x="14"/>
        <item m="1" x="48"/>
        <item m="1" x="32"/>
        <item m="1" x="22"/>
        <item m="1" x="74"/>
        <item m="1" x="44"/>
        <item m="1" x="75"/>
        <item m="1" x="45"/>
        <item m="1" x="31"/>
        <item m="1" x="26"/>
        <item m="1" x="53"/>
        <item m="1" x="28"/>
        <item m="1" x="85"/>
        <item m="1" x="78"/>
        <item m="1" x="27"/>
        <item m="1" x="25"/>
        <item m="1" x="70"/>
        <item m="1" x="79"/>
        <item m="1" x="15"/>
        <item m="1" x="33"/>
        <item m="1" x="46"/>
        <item m="1" x="67"/>
        <item m="1" x="84"/>
        <item m="1" x="16"/>
        <item m="1" x="43"/>
        <item m="1" x="47"/>
        <item m="1" x="71"/>
        <item m="1" x="50"/>
        <item m="1" x="21"/>
        <item m="1" x="38"/>
        <item m="1" x="58"/>
        <item m="1" x="39"/>
        <item m="1" x="59"/>
        <item m="1" x="40"/>
        <item m="1" x="60"/>
        <item m="1" x="41"/>
        <item m="1" x="61"/>
        <item m="1" x="42"/>
        <item m="1" x="62"/>
        <item m="1" x="9"/>
        <item x="0"/>
        <item x="1"/>
        <item x="2"/>
        <item x="3"/>
        <item x="5"/>
        <item x="6"/>
        <item x="7"/>
        <item x="8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9">
    <i>
      <x v="3"/>
      <x v="10"/>
      <x v="1"/>
      <x v="2"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  <i r="1">
      <x v="83"/>
      <x/>
      <x/>
    </i>
    <i r="1">
      <x v="84"/>
      <x v="1"/>
      <x/>
    </i>
    <i r="1">
      <x v="85"/>
      <x/>
      <x/>
    </i>
    <i r="1">
      <x v="86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10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9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9">
        <item m="1" x="20"/>
        <item m="1" x="11"/>
        <item m="1" x="27"/>
        <item m="1" x="36"/>
        <item m="1" x="49"/>
        <item m="1" x="48"/>
        <item m="1" x="12"/>
        <item m="1" x="113"/>
        <item m="1" x="91"/>
        <item m="1" x="54"/>
        <item m="1" x="41"/>
        <item m="1" x="45"/>
        <item m="1" x="127"/>
        <item m="1" x="30"/>
        <item m="1" x="112"/>
        <item m="1" x="34"/>
        <item m="1" x="85"/>
        <item m="1" x="99"/>
        <item m="1" x="9"/>
        <item m="1" x="35"/>
        <item m="1" x="122"/>
        <item m="1" x="24"/>
        <item m="1" x="114"/>
        <item m="1" x="13"/>
        <item m="1" x="40"/>
        <item m="1" x="66"/>
        <item m="1" x="10"/>
        <item m="1" x="16"/>
        <item m="1" x="86"/>
        <item m="1" x="67"/>
        <item m="1" x="101"/>
        <item m="1" x="57"/>
        <item m="1" x="21"/>
        <item m="1" x="51"/>
        <item m="1" x="87"/>
        <item m="1" x="72"/>
        <item m="1" x="22"/>
        <item m="1" x="32"/>
        <item m="1" x="94"/>
        <item m="1" x="8"/>
        <item m="1" x="121"/>
        <item m="1" x="79"/>
        <item m="1" x="19"/>
        <item m="1" x="104"/>
        <item m="1" x="50"/>
        <item m="1" x="123"/>
        <item m="1" x="84"/>
        <item m="1" x="26"/>
        <item m="1" x="71"/>
        <item m="1" x="90"/>
        <item m="1" x="103"/>
        <item m="1" x="111"/>
        <item m="1" x="120"/>
        <item m="1" x="7"/>
        <item m="1" x="25"/>
        <item m="1" x="39"/>
        <item m="1" x="28"/>
        <item m="1" x="6"/>
        <item m="1" x="100"/>
        <item m="1" x="117"/>
        <item m="1" x="43"/>
        <item m="1" x="78"/>
        <item m="1" x="31"/>
        <item m="1" x="52"/>
        <item m="1" x="37"/>
        <item m="1" x="61"/>
        <item m="1" x="46"/>
        <item m="1" x="68"/>
        <item m="1" x="53"/>
        <item m="1" x="80"/>
        <item m="1" x="62"/>
        <item m="1" x="88"/>
        <item m="1" x="69"/>
        <item m="1" x="97"/>
        <item m="1" x="81"/>
        <item m="1" x="102"/>
        <item m="1" x="89"/>
        <item m="1" x="106"/>
        <item m="1" x="118"/>
        <item m="1" x="108"/>
        <item m="1" x="92"/>
        <item m="1" x="65"/>
        <item m="1" x="44"/>
        <item m="1" x="59"/>
        <item m="1" x="23"/>
        <item m="1" x="29"/>
        <item m="1" x="38"/>
        <item m="1" x="42"/>
        <item m="1" x="74"/>
        <item m="1" x="119"/>
        <item m="1" x="109"/>
        <item m="1" x="93"/>
        <item m="1" x="60"/>
        <item m="1" x="128"/>
        <item m="1" x="76"/>
        <item m="1" x="64"/>
        <item m="1" x="96"/>
        <item m="1" x="77"/>
        <item m="1" x="56"/>
        <item m="1" x="63"/>
        <item m="1" x="17"/>
        <item m="1" x="82"/>
        <item m="1" x="98"/>
        <item m="1" x="107"/>
        <item m="1" x="115"/>
        <item m="1" x="126"/>
        <item m="1" x="14"/>
        <item m="1" x="33"/>
        <item m="1" x="125"/>
        <item m="1" x="15"/>
        <item m="1" x="83"/>
        <item m="1" x="58"/>
        <item m="1" x="73"/>
        <item m="1" x="18"/>
        <item m="1" x="124"/>
        <item m="1" x="105"/>
        <item m="1" x="55"/>
        <item m="1" x="116"/>
        <item m="1" x="75"/>
        <item m="1" x="95"/>
        <item m="1" x="110"/>
        <item m="1" x="47"/>
        <item m="1" x="70"/>
        <item m="1" x="5"/>
        <item x="0"/>
        <item x="1"/>
        <item x="2"/>
        <item x="3"/>
        <item x="4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 v="4"/>
      <x/>
    </i>
    <i r="1">
      <x v="127"/>
      <x v="4"/>
      <x/>
    </i>
    <i r="1">
      <x v="128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0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4" tableType="queryTable" totalsRowShown="0">
  <autoFilter ref="A1:Y14" xr:uid="{C3D003CA-1AFF-426C-A03D-D3AF5760DF1A}"/>
  <sortState xmlns:xlrd2="http://schemas.microsoft.com/office/spreadsheetml/2017/richdata2" ref="A2:Y14">
    <sortCondition ref="D1:D14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8" tableType="queryTable" totalsRowShown="0">
  <autoFilter ref="A1:U8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0" tableType="queryTable" totalsRowShown="0">
  <autoFilter ref="A1:P10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6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5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4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3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2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1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0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9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3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37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36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B4" sqref="B4"/>
    </sheetView>
  </sheetViews>
  <sheetFormatPr defaultRowHeight="15" x14ac:dyDescent="0.25"/>
  <cols>
    <col min="1" max="1" width="16.4257812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69</v>
      </c>
      <c r="C2" t="s">
        <v>70</v>
      </c>
      <c r="D2">
        <v>2</v>
      </c>
      <c r="E2">
        <v>1</v>
      </c>
      <c r="F2">
        <v>960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5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1.140625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71</v>
      </c>
      <c r="C3" t="s">
        <v>72</v>
      </c>
      <c r="D3" t="s">
        <v>73</v>
      </c>
      <c r="E3" s="5">
        <v>2.6640226121623698</v>
      </c>
      <c r="F3" s="5">
        <v>1</v>
      </c>
      <c r="G3" s="5">
        <v>3E+20</v>
      </c>
      <c r="H3" s="5">
        <v>0</v>
      </c>
      <c r="I3" s="5">
        <v>2.6640226121623698</v>
      </c>
      <c r="J3" s="5">
        <v>2.6640226121623698</v>
      </c>
      <c r="K3" s="5">
        <v>0</v>
      </c>
      <c r="L3" s="5">
        <v>15.640882604942099</v>
      </c>
      <c r="M3" s="5">
        <v>647</v>
      </c>
      <c r="O3" t="s">
        <v>67</v>
      </c>
      <c r="P3" t="s">
        <v>83</v>
      </c>
      <c r="Q3" t="s">
        <v>84</v>
      </c>
      <c r="R3" t="s">
        <v>85</v>
      </c>
      <c r="S3" s="5">
        <v>0.83774555145906004</v>
      </c>
      <c r="T3" s="5">
        <v>3E+20</v>
      </c>
      <c r="U3" s="5">
        <v>0</v>
      </c>
      <c r="V3" s="5">
        <v>0.83774555145906004</v>
      </c>
      <c r="W3" s="5">
        <v>0.83774555145906004</v>
      </c>
      <c r="X3" s="5">
        <v>0</v>
      </c>
      <c r="Y3" s="5">
        <v>1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99</v>
      </c>
      <c r="AM3" t="s">
        <v>98</v>
      </c>
      <c r="AN3" t="s">
        <v>100</v>
      </c>
      <c r="AO3" s="5">
        <v>645</v>
      </c>
      <c r="AP3" s="5">
        <v>4E+20</v>
      </c>
      <c r="AQ3" s="5">
        <v>0</v>
      </c>
      <c r="AR3" s="5">
        <v>645</v>
      </c>
      <c r="AS3" s="5">
        <v>645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B4" t="s">
        <v>74</v>
      </c>
      <c r="C4" t="s">
        <v>75</v>
      </c>
      <c r="D4" t="s">
        <v>76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424</v>
      </c>
      <c r="Q4" t="s">
        <v>86</v>
      </c>
      <c r="R4" t="s">
        <v>85</v>
      </c>
      <c r="S4" s="5">
        <v>5.2855070512373903</v>
      </c>
      <c r="T4" s="5">
        <v>3E+20</v>
      </c>
      <c r="U4" s="5">
        <v>0</v>
      </c>
      <c r="V4" s="5">
        <v>5.2855070512373903</v>
      </c>
      <c r="W4" s="5">
        <v>5.2855070512373903</v>
      </c>
      <c r="X4" s="5">
        <v>0</v>
      </c>
      <c r="Y4" s="5">
        <v>7</v>
      </c>
      <c r="AL4" t="s">
        <v>91</v>
      </c>
      <c r="AM4" t="s">
        <v>92</v>
      </c>
      <c r="AN4" t="s">
        <v>85</v>
      </c>
      <c r="AO4" s="5">
        <v>647</v>
      </c>
      <c r="AP4" s="5">
        <v>4E+20</v>
      </c>
      <c r="AQ4" s="5">
        <v>0</v>
      </c>
      <c r="AR4" s="5">
        <v>647</v>
      </c>
      <c r="AS4" s="5">
        <v>647</v>
      </c>
    </row>
    <row r="5" spans="1:52" x14ac:dyDescent="0.25">
      <c r="C5" t="s">
        <v>77</v>
      </c>
      <c r="D5" t="s">
        <v>76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424</v>
      </c>
      <c r="Q5" t="s">
        <v>87</v>
      </c>
      <c r="R5" t="s">
        <v>85</v>
      </c>
      <c r="S5" s="5">
        <v>6.3419961880207296</v>
      </c>
      <c r="T5" s="5">
        <v>2E+20</v>
      </c>
      <c r="U5" s="5">
        <v>0</v>
      </c>
      <c r="V5" s="5">
        <v>6.3419961880207296</v>
      </c>
      <c r="W5" s="5">
        <v>6.3419961880207296</v>
      </c>
      <c r="X5" s="5">
        <v>6</v>
      </c>
      <c r="Y5" s="5">
        <v>7</v>
      </c>
      <c r="AL5" t="s">
        <v>93</v>
      </c>
      <c r="AM5" t="s">
        <v>94</v>
      </c>
      <c r="AN5" t="s">
        <v>85</v>
      </c>
      <c r="AO5" s="5">
        <v>0.83341378558711199</v>
      </c>
      <c r="AP5" s="5">
        <v>4E+20</v>
      </c>
      <c r="AQ5" s="5">
        <v>0</v>
      </c>
      <c r="AR5" s="5">
        <v>0.83341378558711199</v>
      </c>
      <c r="AS5" s="5">
        <v>0.83341378558711199</v>
      </c>
    </row>
    <row r="6" spans="1:52" x14ac:dyDescent="0.25">
      <c r="C6" t="s">
        <v>78</v>
      </c>
      <c r="D6" t="s">
        <v>76</v>
      </c>
      <c r="E6" s="5">
        <v>13.761604709733</v>
      </c>
      <c r="F6" s="5">
        <v>1</v>
      </c>
      <c r="G6" s="5">
        <v>3E+20</v>
      </c>
      <c r="H6" s="5">
        <v>0</v>
      </c>
      <c r="I6" s="5">
        <v>13.761604709733</v>
      </c>
      <c r="J6" s="5">
        <v>13.761604709733</v>
      </c>
      <c r="K6" s="5">
        <v>7.8273033630930504</v>
      </c>
      <c r="L6" s="5">
        <v>27.730276150372902</v>
      </c>
      <c r="M6" s="5">
        <v>424</v>
      </c>
      <c r="P6" t="s">
        <v>71</v>
      </c>
      <c r="Q6" t="s">
        <v>88</v>
      </c>
      <c r="R6" t="s">
        <v>73</v>
      </c>
      <c r="S6" s="5">
        <v>1.79544023965526</v>
      </c>
      <c r="T6" s="5">
        <v>3E+20</v>
      </c>
      <c r="U6" s="5">
        <v>0</v>
      </c>
      <c r="V6" s="5">
        <v>1.79544023965526</v>
      </c>
      <c r="W6" s="5">
        <v>1.79544023965526</v>
      </c>
      <c r="X6" s="5">
        <v>0</v>
      </c>
      <c r="Y6" s="5">
        <v>13</v>
      </c>
      <c r="AL6" t="s">
        <v>95</v>
      </c>
      <c r="AM6" t="s">
        <v>96</v>
      </c>
      <c r="AN6" t="s">
        <v>76</v>
      </c>
      <c r="AO6" s="5">
        <v>0</v>
      </c>
      <c r="AP6" s="5">
        <v>4E+20</v>
      </c>
      <c r="AQ6" s="5">
        <v>0</v>
      </c>
      <c r="AR6" s="5">
        <v>0</v>
      </c>
      <c r="AS6" s="5">
        <v>0</v>
      </c>
    </row>
    <row r="7" spans="1:52" x14ac:dyDescent="0.25">
      <c r="C7" t="s">
        <v>79</v>
      </c>
      <c r="D7" t="s">
        <v>76</v>
      </c>
      <c r="E7" s="5">
        <v>4.9722528048969803</v>
      </c>
      <c r="F7" s="5">
        <v>1</v>
      </c>
      <c r="G7" s="5">
        <v>3.3705245472059699E-2</v>
      </c>
      <c r="H7" s="5">
        <v>0</v>
      </c>
      <c r="I7" s="5">
        <v>4.9722528048969803</v>
      </c>
      <c r="J7" s="5">
        <v>4.9722528048969803</v>
      </c>
      <c r="K7" s="5">
        <v>4.0498155507751799</v>
      </c>
      <c r="L7" s="5">
        <v>5.9811280020642501</v>
      </c>
      <c r="M7" s="5">
        <v>424</v>
      </c>
      <c r="P7" t="s">
        <v>89</v>
      </c>
      <c r="Q7" t="s">
        <v>90</v>
      </c>
      <c r="R7" t="s">
        <v>76</v>
      </c>
      <c r="S7" s="5">
        <v>0</v>
      </c>
      <c r="T7" s="5">
        <v>2E+20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L7" t="s">
        <v>97</v>
      </c>
      <c r="AM7" t="s">
        <v>98</v>
      </c>
      <c r="AN7" t="s">
        <v>76</v>
      </c>
      <c r="AO7" s="5">
        <v>0</v>
      </c>
      <c r="AP7" s="5">
        <v>4E+20</v>
      </c>
      <c r="AQ7" s="5">
        <v>0</v>
      </c>
      <c r="AR7" s="5">
        <v>0</v>
      </c>
      <c r="AS7" s="5">
        <v>0</v>
      </c>
    </row>
    <row r="8" spans="1:52" x14ac:dyDescent="0.25">
      <c r="C8" t="s">
        <v>80</v>
      </c>
      <c r="D8" t="s">
        <v>76</v>
      </c>
      <c r="E8" s="5">
        <v>6.1310703279680503</v>
      </c>
      <c r="F8" s="5">
        <v>1</v>
      </c>
      <c r="G8" s="5">
        <v>0.151978265121681</v>
      </c>
      <c r="H8" s="5">
        <v>0</v>
      </c>
      <c r="I8" s="5">
        <v>6.1310703279680503</v>
      </c>
      <c r="J8" s="5">
        <v>6.1310703279680503</v>
      </c>
      <c r="K8" s="5">
        <v>3.2268386655157402</v>
      </c>
      <c r="L8" s="5">
        <v>12.7500392871925</v>
      </c>
      <c r="M8" s="5">
        <v>424</v>
      </c>
      <c r="P8" t="s">
        <v>74</v>
      </c>
      <c r="Q8" t="s">
        <v>90</v>
      </c>
      <c r="R8" t="s">
        <v>76</v>
      </c>
      <c r="S8" s="5">
        <v>6.0906899152116099</v>
      </c>
      <c r="T8" s="5">
        <v>3E+20</v>
      </c>
      <c r="U8" s="5">
        <v>0</v>
      </c>
      <c r="V8" s="5">
        <v>6.0906899152116099</v>
      </c>
      <c r="W8" s="5">
        <v>6.0906899152116099</v>
      </c>
      <c r="X8" s="5">
        <v>0</v>
      </c>
      <c r="Y8" s="5">
        <v>15</v>
      </c>
      <c r="AL8" t="s">
        <v>101</v>
      </c>
      <c r="AM8" t="s">
        <v>96</v>
      </c>
      <c r="AN8" t="s">
        <v>76</v>
      </c>
      <c r="AO8" s="5">
        <v>427</v>
      </c>
      <c r="AP8" s="5">
        <v>4E+20</v>
      </c>
      <c r="AQ8" s="5">
        <v>0</v>
      </c>
      <c r="AR8" s="5">
        <v>427</v>
      </c>
      <c r="AS8" s="5">
        <v>427</v>
      </c>
    </row>
    <row r="9" spans="1:52" x14ac:dyDescent="0.25">
      <c r="C9" t="s">
        <v>81</v>
      </c>
      <c r="D9" t="s">
        <v>76</v>
      </c>
      <c r="E9" s="5">
        <v>2.65828157686797</v>
      </c>
      <c r="F9" s="5">
        <v>1</v>
      </c>
      <c r="G9" s="5">
        <v>3E+20</v>
      </c>
      <c r="H9" s="5">
        <v>0</v>
      </c>
      <c r="I9" s="5">
        <v>2.65828157686797</v>
      </c>
      <c r="J9" s="5">
        <v>2.65828157686797</v>
      </c>
      <c r="K9" s="5">
        <v>0</v>
      </c>
      <c r="L9" s="5">
        <v>15.640882604942099</v>
      </c>
      <c r="M9" s="5">
        <v>424</v>
      </c>
      <c r="P9" t="s">
        <v>82</v>
      </c>
      <c r="Q9" t="s">
        <v>90</v>
      </c>
      <c r="R9" t="s">
        <v>76</v>
      </c>
      <c r="S9" s="5">
        <v>4.3379926874495203</v>
      </c>
      <c r="T9" s="5">
        <v>3E+20</v>
      </c>
      <c r="U9" s="5">
        <v>0</v>
      </c>
      <c r="V9" s="5">
        <v>4.3379926874495203</v>
      </c>
      <c r="W9" s="5">
        <v>4.3379926874495203</v>
      </c>
      <c r="X9" s="5">
        <v>0</v>
      </c>
      <c r="Y9" s="5">
        <v>11</v>
      </c>
      <c r="AL9" t="s">
        <v>102</v>
      </c>
      <c r="AM9" t="s">
        <v>98</v>
      </c>
      <c r="AN9" t="s">
        <v>76</v>
      </c>
      <c r="AO9" s="5">
        <v>424</v>
      </c>
      <c r="AP9" s="5">
        <v>4E+20</v>
      </c>
      <c r="AQ9" s="5">
        <v>0</v>
      </c>
      <c r="AR9" s="5">
        <v>424</v>
      </c>
      <c r="AS9" s="5">
        <v>424</v>
      </c>
    </row>
    <row r="10" spans="1:52" x14ac:dyDescent="0.25">
      <c r="B10" t="s">
        <v>82</v>
      </c>
      <c r="C10" t="s">
        <v>75</v>
      </c>
      <c r="D10" t="s">
        <v>76</v>
      </c>
      <c r="E10" s="5">
        <v>0</v>
      </c>
      <c r="F10" s="5">
        <v>1</v>
      </c>
      <c r="G10" s="5">
        <v>2E+20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221</v>
      </c>
      <c r="AL10" t="s">
        <v>103</v>
      </c>
      <c r="AM10" t="s">
        <v>96</v>
      </c>
      <c r="AN10" t="s">
        <v>76</v>
      </c>
      <c r="AO10" s="5">
        <v>221</v>
      </c>
      <c r="AP10" s="5">
        <v>4E+20</v>
      </c>
      <c r="AQ10" s="5">
        <v>0</v>
      </c>
      <c r="AR10" s="5">
        <v>221</v>
      </c>
      <c r="AS10" s="5">
        <v>221</v>
      </c>
    </row>
    <row r="11" spans="1:52" x14ac:dyDescent="0.25">
      <c r="C11" t="s">
        <v>77</v>
      </c>
      <c r="D11" t="s">
        <v>76</v>
      </c>
      <c r="E11" s="5">
        <v>0</v>
      </c>
      <c r="F11" s="5">
        <v>1</v>
      </c>
      <c r="G11" s="5">
        <v>2E+20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221</v>
      </c>
      <c r="AL11" t="s">
        <v>104</v>
      </c>
      <c r="AM11" t="s">
        <v>98</v>
      </c>
      <c r="AN11" t="s">
        <v>76</v>
      </c>
      <c r="AO11" s="5">
        <v>221</v>
      </c>
      <c r="AP11" s="5">
        <v>4E+20</v>
      </c>
      <c r="AQ11" s="5">
        <v>0</v>
      </c>
      <c r="AR11" s="5">
        <v>221</v>
      </c>
      <c r="AS11" s="5">
        <v>221</v>
      </c>
    </row>
    <row r="12" spans="1:52" x14ac:dyDescent="0.25">
      <c r="C12" t="s">
        <v>78</v>
      </c>
      <c r="D12" t="s">
        <v>76</v>
      </c>
      <c r="E12" s="5">
        <v>18.843769140052199</v>
      </c>
      <c r="F12" s="5">
        <v>1</v>
      </c>
      <c r="G12" s="5">
        <v>2E+20</v>
      </c>
      <c r="H12" s="5">
        <v>0</v>
      </c>
      <c r="I12" s="5">
        <v>18.843769140052199</v>
      </c>
      <c r="J12" s="5">
        <v>18.843769140052199</v>
      </c>
      <c r="K12" s="5">
        <v>12.6370929017145</v>
      </c>
      <c r="L12" s="5">
        <v>31.7211952087432</v>
      </c>
      <c r="M12" s="5">
        <v>221</v>
      </c>
    </row>
    <row r="13" spans="1:52" x14ac:dyDescent="0.25">
      <c r="C13" t="s">
        <v>79</v>
      </c>
      <c r="D13" t="s">
        <v>76</v>
      </c>
      <c r="E13" s="5">
        <v>4.9647095848961902</v>
      </c>
      <c r="F13" s="5">
        <v>1</v>
      </c>
      <c r="G13" s="5">
        <v>2E+20</v>
      </c>
      <c r="H13" s="5">
        <v>0</v>
      </c>
      <c r="I13" s="5">
        <v>4.9647095848961902</v>
      </c>
      <c r="J13" s="5">
        <v>4.9647095848961902</v>
      </c>
      <c r="K13" s="5">
        <v>4.1923959781906301</v>
      </c>
      <c r="L13" s="5">
        <v>5.8588651214964802</v>
      </c>
      <c r="M13" s="5">
        <v>221</v>
      </c>
    </row>
    <row r="14" spans="1:52" x14ac:dyDescent="0.25">
      <c r="C14" t="s">
        <v>80</v>
      </c>
      <c r="D14" t="s">
        <v>76</v>
      </c>
      <c r="E14" s="5">
        <v>11.179913666119701</v>
      </c>
      <c r="F14" s="5">
        <v>1</v>
      </c>
      <c r="G14" s="5">
        <v>2E+20</v>
      </c>
      <c r="H14" s="5">
        <v>0</v>
      </c>
      <c r="I14" s="5">
        <v>11.179913666119701</v>
      </c>
      <c r="J14" s="5">
        <v>11.179913666119701</v>
      </c>
      <c r="K14" s="5">
        <v>7.5200958002754996</v>
      </c>
      <c r="L14" s="5">
        <v>19.067759829024599</v>
      </c>
      <c r="M14" s="5">
        <v>221</v>
      </c>
    </row>
    <row r="15" spans="1:52" x14ac:dyDescent="0.25">
      <c r="C15" t="s">
        <v>81</v>
      </c>
      <c r="D15" t="s">
        <v>76</v>
      </c>
      <c r="E15" s="5">
        <v>2.69914588903635</v>
      </c>
      <c r="F15" s="5">
        <v>1</v>
      </c>
      <c r="G15" s="5">
        <v>2E+20</v>
      </c>
      <c r="H15" s="5">
        <v>0</v>
      </c>
      <c r="I15" s="5">
        <v>2.69914588903635</v>
      </c>
      <c r="J15" s="5">
        <v>2.69914588903635</v>
      </c>
      <c r="K15" s="5">
        <v>0</v>
      </c>
      <c r="L15" s="5">
        <v>15.082260948096501</v>
      </c>
      <c r="M15" s="5">
        <v>221</v>
      </c>
    </row>
  </sheetData>
  <dataConsolidate/>
  <conditionalFormatting pivot="1" sqref="G3:G15">
    <cfRule type="expression" dxfId="31" priority="14">
      <formula>G3=200000000000000000000</formula>
    </cfRule>
  </conditionalFormatting>
  <conditionalFormatting pivot="1" sqref="T3:T9">
    <cfRule type="expression" dxfId="30" priority="13">
      <formula>T3=200000000000000000000</formula>
    </cfRule>
  </conditionalFormatting>
  <conditionalFormatting pivot="1" sqref="T3:T9">
    <cfRule type="expression" dxfId="29" priority="12">
      <formula>T3=300000000000000000000</formula>
    </cfRule>
  </conditionalFormatting>
  <conditionalFormatting pivot="1" sqref="G3:G15">
    <cfRule type="expression" dxfId="28" priority="11">
      <formula>G3=300000000000000000000</formula>
    </cfRule>
  </conditionalFormatting>
  <conditionalFormatting pivot="1" sqref="F3:F15">
    <cfRule type="expression" dxfId="27" priority="10">
      <formula>F3=0</formula>
    </cfRule>
  </conditionalFormatting>
  <conditionalFormatting pivot="1" sqref="F3:F15">
    <cfRule type="expression" dxfId="26" priority="9">
      <formula>F3=1</formula>
    </cfRule>
  </conditionalFormatting>
  <conditionalFormatting pivot="1" sqref="T3:T9">
    <cfRule type="expression" dxfId="25" priority="8">
      <formula>T3=400000000000000000000</formula>
    </cfRule>
  </conditionalFormatting>
  <conditionalFormatting pivot="1" sqref="AP3:AP11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5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4"/>
  <sheetViews>
    <sheetView workbookViewId="0">
      <selection activeCell="A2" sqref="A2:K6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9.42578125" bestFit="1" customWidth="1"/>
    <col min="5" max="5" width="13.285156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3.570312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2.6640226121623698</v>
      </c>
      <c r="H2">
        <v>3E+20</v>
      </c>
      <c r="I2">
        <v>0</v>
      </c>
      <c r="J2">
        <v>15.640882604942099</v>
      </c>
      <c r="K2">
        <v>647</v>
      </c>
      <c r="L2" t="str">
        <f>DiscreteStatsTable[[#This Row],[ProjectName]]&amp;DiscreteStatsTable[[#This Row],[Name]]&amp;DiscreteStatsTable[[#This Row],[Type]]&amp;DiscreteStatsTable[[#This Row],[Source]]</f>
        <v>Unnamed ProjectCheckin desk.QueueWaiting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2.6640226121623698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2.6640226121623698</v>
      </c>
      <c r="S2" cm="1">
        <f t="array" ref="S2">MAX(IF((DiscreteStatsTable[GroupByKey]=DiscreteStatsTable[[#This Row],[GroupByKey]]),(DiscreteStatsTable[GroupByKey]=DiscreteStatsTable[[#This Row],[GroupByKey]])*DiscreteStatsTable[Average]))</f>
        <v>2.6640226121623698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15.640882604942099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647</v>
      </c>
      <c r="W2">
        <f>IF((DiscreteStatsTable[[#This Row],[RepsRequested]]&gt;1),DiscreteStatsTable[[#This Row],[HalfWidth]],DiscreteStatsTable[[#This Row],[BatchMeansHalfWidth]])</f>
        <v>3E+20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70</v>
      </c>
      <c r="C3">
        <v>1</v>
      </c>
      <c r="D3" t="s">
        <v>74</v>
      </c>
      <c r="E3" t="s">
        <v>75</v>
      </c>
      <c r="F3" t="s">
        <v>76</v>
      </c>
      <c r="G3">
        <v>0</v>
      </c>
      <c r="H3">
        <v>0</v>
      </c>
      <c r="I3">
        <v>0</v>
      </c>
      <c r="J3">
        <v>0</v>
      </c>
      <c r="K3">
        <v>424</v>
      </c>
      <c r="L3" t="str">
        <f>DiscreteStatsTable[[#This Row],[ProjectName]]&amp;DiscreteStatsTable[[#This Row],[Name]]&amp;DiscreteStatsTable[[#This Row],[Type]]&amp;DiscreteStatsTable[[#This Row],[Source]]</f>
        <v>Unnamed ProjectType 1 PassengerNVA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424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70</v>
      </c>
      <c r="C4">
        <v>1</v>
      </c>
      <c r="D4" t="s">
        <v>74</v>
      </c>
      <c r="E4" t="s">
        <v>77</v>
      </c>
      <c r="F4" t="s">
        <v>76</v>
      </c>
      <c r="G4">
        <v>0</v>
      </c>
      <c r="H4">
        <v>0</v>
      </c>
      <c r="I4">
        <v>0</v>
      </c>
      <c r="J4">
        <v>0</v>
      </c>
      <c r="K4">
        <v>424</v>
      </c>
      <c r="L4" t="str">
        <f>DiscreteStatsTable[[#This Row],[ProjectName]]&amp;DiscreteStatsTable[[#This Row],[Name]]&amp;DiscreteStatsTable[[#This Row],[Type]]&amp;DiscreteStatsTable[[#This Row],[Source]]</f>
        <v>Unnamed ProjectType 1 PassengerOther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424</v>
      </c>
      <c r="W4">
        <f>IF((DiscreteStatsTable[[#This Row],[RepsRequested]]&gt;1),DiscreteStatsTable[[#This Row],[HalfWidth]],DiscreteStatsTable[[#This Row],[BatchMeansHalfWidth]])</f>
        <v>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70</v>
      </c>
      <c r="C5">
        <v>1</v>
      </c>
      <c r="D5" t="s">
        <v>74</v>
      </c>
      <c r="E5" t="s">
        <v>78</v>
      </c>
      <c r="F5" t="s">
        <v>76</v>
      </c>
      <c r="G5">
        <v>13.761604709733</v>
      </c>
      <c r="H5">
        <v>3E+20</v>
      </c>
      <c r="I5">
        <v>7.8273033630930504</v>
      </c>
      <c r="J5">
        <v>27.730276150372902</v>
      </c>
      <c r="K5">
        <v>424</v>
      </c>
      <c r="L5" t="str">
        <f>DiscreteStatsTable[[#This Row],[ProjectName]]&amp;DiscreteStatsTable[[#This Row],[Name]]&amp;DiscreteStatsTable[[#This Row],[Type]]&amp;DiscreteStatsTable[[#This Row],[Source]]</f>
        <v>Unnamed ProjectType 1 PassengerTotal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13.761604709733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13.761604709733</v>
      </c>
      <c r="S5" cm="1">
        <f t="array" ref="S5">MAX(IF((DiscreteStatsTable[GroupByKey]=DiscreteStatsTable[[#This Row],[GroupByKey]]),(DiscreteStatsTable[GroupByKey]=DiscreteStatsTable[[#This Row],[GroupByKey]])*DiscreteStatsTable[Average]))</f>
        <v>13.761604709733</v>
      </c>
      <c r="T5" cm="1">
        <f t="array" ref="T5">MIN(IF((DiscreteStatsTable[GroupByKey]=DiscreteStatsTable[[#This Row],[GroupByKey]]),(DiscreteStatsTable[GroupByKey]=DiscreteStatsTable[[#This Row],[GroupByKey]])*DiscreteStatsTable[Minimum]))</f>
        <v>7.8273033630930504</v>
      </c>
      <c r="U5" cm="1">
        <f t="array" ref="U5">MAX(IF((DiscreteStatsTable[GroupByKey]=DiscreteStatsTable[[#This Row],[GroupByKey]]),(DiscreteStatsTable[GroupByKey]=DiscreteStatsTable[[#This Row],[GroupByKey]])*DiscreteStatsTable[Maximum]))</f>
        <v>27.730276150372902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424</v>
      </c>
      <c r="W5">
        <f>IF((DiscreteStatsTable[[#This Row],[RepsRequested]]&gt;1),DiscreteStatsTable[[#This Row],[HalfWidth]],DiscreteStatsTable[[#This Row],[BatchMeansHalfWidth]])</f>
        <v>3E+20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70</v>
      </c>
      <c r="C6">
        <v>1</v>
      </c>
      <c r="D6" t="s">
        <v>74</v>
      </c>
      <c r="E6" t="s">
        <v>79</v>
      </c>
      <c r="F6" t="s">
        <v>76</v>
      </c>
      <c r="G6">
        <v>4.9722528048969803</v>
      </c>
      <c r="H6">
        <v>3.3705245472059699E-2</v>
      </c>
      <c r="I6">
        <v>4.0498155507751799</v>
      </c>
      <c r="J6">
        <v>5.9811280020642501</v>
      </c>
      <c r="K6">
        <v>424</v>
      </c>
      <c r="L6" t="str">
        <f>DiscreteStatsTable[[#This Row],[ProjectName]]&amp;DiscreteStatsTable[[#This Row],[Name]]&amp;DiscreteStatsTable[[#This Row],[Type]]&amp;DiscreteStatsTable[[#This Row],[Source]]</f>
        <v>Unnamed ProjectType 1 PassengerTransfer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4.9722528048969803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4.9722528048969803</v>
      </c>
      <c r="S6" cm="1">
        <f t="array" ref="S6">MAX(IF((DiscreteStatsTable[GroupByKey]=DiscreteStatsTable[[#This Row],[GroupByKey]]),(DiscreteStatsTable[GroupByKey]=DiscreteStatsTable[[#This Row],[GroupByKey]])*DiscreteStatsTable[Average]))</f>
        <v>4.9722528048969803</v>
      </c>
      <c r="T6" cm="1">
        <f t="array" ref="T6">MIN(IF((DiscreteStatsTable[GroupByKey]=DiscreteStatsTable[[#This Row],[GroupByKey]]),(DiscreteStatsTable[GroupByKey]=DiscreteStatsTable[[#This Row],[GroupByKey]])*DiscreteStatsTable[Minimum]))</f>
        <v>4.0498155507751799</v>
      </c>
      <c r="U6" cm="1">
        <f t="array" ref="U6">MAX(IF((DiscreteStatsTable[GroupByKey]=DiscreteStatsTable[[#This Row],[GroupByKey]]),(DiscreteStatsTable[GroupByKey]=DiscreteStatsTable[[#This Row],[GroupByKey]])*DiscreteStatsTable[Maximum]))</f>
        <v>5.9811280020642501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424</v>
      </c>
      <c r="W6">
        <f>IF((DiscreteStatsTable[[#This Row],[RepsRequested]]&gt;1),DiscreteStatsTable[[#This Row],[HalfWidth]],DiscreteStatsTable[[#This Row],[BatchMeansHalfWidth]])</f>
        <v>3.3705245472059699E-2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70</v>
      </c>
      <c r="C7">
        <v>1</v>
      </c>
      <c r="D7" t="s">
        <v>74</v>
      </c>
      <c r="E7" t="s">
        <v>80</v>
      </c>
      <c r="F7" t="s">
        <v>76</v>
      </c>
      <c r="G7">
        <v>6.1310703279680503</v>
      </c>
      <c r="H7">
        <v>0.151978265121681</v>
      </c>
      <c r="I7">
        <v>3.2268386655157402</v>
      </c>
      <c r="J7">
        <v>12.7500392871925</v>
      </c>
      <c r="K7">
        <v>424</v>
      </c>
      <c r="L7" t="str">
        <f>DiscreteStatsTable[[#This Row],[ProjectName]]&amp;DiscreteStatsTable[[#This Row],[Name]]&amp;DiscreteStatsTable[[#This Row],[Type]]&amp;DiscreteStatsTable[[#This Row],[Source]]</f>
        <v>Unnamed ProjectType 1 PassengerVA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6.1310703279680503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6.1310703279680503</v>
      </c>
      <c r="S7" cm="1">
        <f t="array" ref="S7">MAX(IF((DiscreteStatsTable[GroupByKey]=DiscreteStatsTable[[#This Row],[GroupByKey]]),(DiscreteStatsTable[GroupByKey]=DiscreteStatsTable[[#This Row],[GroupByKey]])*DiscreteStatsTable[Average]))</f>
        <v>6.1310703279680503</v>
      </c>
      <c r="T7" cm="1">
        <f t="array" ref="T7">MIN(IF((DiscreteStatsTable[GroupByKey]=DiscreteStatsTable[[#This Row],[GroupByKey]]),(DiscreteStatsTable[GroupByKey]=DiscreteStatsTable[[#This Row],[GroupByKey]])*DiscreteStatsTable[Minimum]))</f>
        <v>3.2268386655157402</v>
      </c>
      <c r="U7" cm="1">
        <f t="array" ref="U7">MAX(IF((DiscreteStatsTable[GroupByKey]=DiscreteStatsTable[[#This Row],[GroupByKey]]),(DiscreteStatsTable[GroupByKey]=DiscreteStatsTable[[#This Row],[GroupByKey]])*DiscreteStatsTable[Maximum]))</f>
        <v>12.7500392871925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424</v>
      </c>
      <c r="W7">
        <f>IF((DiscreteStatsTable[[#This Row],[RepsRequested]]&gt;1),DiscreteStatsTable[[#This Row],[HalfWidth]],DiscreteStatsTable[[#This Row],[BatchMeansHalfWidth]])</f>
        <v>0.151978265121681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70</v>
      </c>
      <c r="C8">
        <v>1</v>
      </c>
      <c r="D8" t="s">
        <v>74</v>
      </c>
      <c r="E8" t="s">
        <v>81</v>
      </c>
      <c r="F8" t="s">
        <v>76</v>
      </c>
      <c r="G8">
        <v>2.65828157686797</v>
      </c>
      <c r="H8">
        <v>3E+20</v>
      </c>
      <c r="I8">
        <v>0</v>
      </c>
      <c r="J8">
        <v>15.640882604942099</v>
      </c>
      <c r="K8">
        <v>424</v>
      </c>
      <c r="L8" t="str">
        <f>DiscreteStatsTable[[#This Row],[ProjectName]]&amp;DiscreteStatsTable[[#This Row],[Name]]&amp;DiscreteStatsTable[[#This Row],[Type]]&amp;DiscreteStatsTable[[#This Row],[Source]]</f>
        <v>Unnamed ProjectType 1 PassengerWait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2.65828157686797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2.65828157686797</v>
      </c>
      <c r="S8" cm="1">
        <f t="array" ref="S8">MAX(IF((DiscreteStatsTable[GroupByKey]=DiscreteStatsTable[[#This Row],[GroupByKey]]),(DiscreteStatsTable[GroupByKey]=DiscreteStatsTable[[#This Row],[GroupByKey]])*DiscreteStatsTable[Average]))</f>
        <v>2.65828157686797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15.640882604942099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424</v>
      </c>
      <c r="W8">
        <f>IF((DiscreteStatsTable[[#This Row],[RepsRequested]]&gt;1),DiscreteStatsTable[[#This Row],[HalfWidth]],DiscreteStatsTable[[#This Row],[BatchMeansHalfWidth]])</f>
        <v>3E+20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70</v>
      </c>
      <c r="C9">
        <v>1</v>
      </c>
      <c r="D9" t="s">
        <v>82</v>
      </c>
      <c r="E9" t="s">
        <v>75</v>
      </c>
      <c r="F9" t="s">
        <v>76</v>
      </c>
      <c r="G9">
        <v>0</v>
      </c>
      <c r="H9">
        <v>2E+20</v>
      </c>
      <c r="I9">
        <v>0</v>
      </c>
      <c r="J9">
        <v>0</v>
      </c>
      <c r="K9">
        <v>221</v>
      </c>
      <c r="L9" t="str">
        <f>DiscreteStatsTable[[#This Row],[ProjectName]]&amp;DiscreteStatsTable[[#This Row],[Name]]&amp;DiscreteStatsTable[[#This Row],[Type]]&amp;DiscreteStatsTable[[#This Row],[Source]]</f>
        <v>Unnamed ProjectType 2 PassengerNVA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221</v>
      </c>
      <c r="W9">
        <f>IF((DiscreteStatsTable[[#This Row],[RepsRequested]]&gt;1),DiscreteStatsTable[[#This Row],[HalfWidth]],DiscreteStatsTable[[#This Row],[BatchMeansHalfWidth]])</f>
        <v>2E+20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70</v>
      </c>
      <c r="C10">
        <v>1</v>
      </c>
      <c r="D10" t="s">
        <v>82</v>
      </c>
      <c r="E10" t="s">
        <v>77</v>
      </c>
      <c r="F10" t="s">
        <v>76</v>
      </c>
      <c r="G10">
        <v>0</v>
      </c>
      <c r="H10">
        <v>2E+20</v>
      </c>
      <c r="I10">
        <v>0</v>
      </c>
      <c r="J10">
        <v>0</v>
      </c>
      <c r="K10">
        <v>221</v>
      </c>
      <c r="L10" t="str">
        <f>DiscreteStatsTable[[#This Row],[ProjectName]]&amp;DiscreteStatsTable[[#This Row],[Name]]&amp;DiscreteStatsTable[[#This Row],[Type]]&amp;DiscreteStatsTable[[#This Row],[Source]]</f>
        <v>Unnamed ProjectType 2 PassengerOther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221</v>
      </c>
      <c r="W10">
        <f>IF((DiscreteStatsTable[[#This Row],[RepsRequested]]&gt;1),DiscreteStatsTable[[#This Row],[HalfWidth]],DiscreteStatsTable[[#This Row],[BatchMeansHalfWidth]])</f>
        <v>2E+20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70</v>
      </c>
      <c r="C11">
        <v>1</v>
      </c>
      <c r="D11" t="s">
        <v>82</v>
      </c>
      <c r="E11" t="s">
        <v>78</v>
      </c>
      <c r="F11" t="s">
        <v>76</v>
      </c>
      <c r="G11">
        <v>18.843769140052199</v>
      </c>
      <c r="H11">
        <v>2E+20</v>
      </c>
      <c r="I11">
        <v>12.6370929017145</v>
      </c>
      <c r="J11">
        <v>31.7211952087432</v>
      </c>
      <c r="K11">
        <v>221</v>
      </c>
      <c r="L11" t="str">
        <f>DiscreteStatsTable[[#This Row],[ProjectName]]&amp;DiscreteStatsTable[[#This Row],[Name]]&amp;DiscreteStatsTable[[#This Row],[Type]]&amp;DiscreteStatsTable[[#This Row],[Source]]</f>
        <v>Unnamed ProjectType 2 PassengerTotal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18.843769140052199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18.843769140052199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18.843769140052199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12.6370929017145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31.7211952087432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221</v>
      </c>
      <c r="W11">
        <f>IF((DiscreteStatsTable[[#This Row],[RepsRequested]]&gt;1),DiscreteStatsTable[[#This Row],[HalfWidth]],DiscreteStatsTable[[#This Row],[BatchMeansHalfWidth]])</f>
        <v>2E+20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67</v>
      </c>
      <c r="B12" t="s">
        <v>70</v>
      </c>
      <c r="C12">
        <v>1</v>
      </c>
      <c r="D12" t="s">
        <v>82</v>
      </c>
      <c r="E12" t="s">
        <v>79</v>
      </c>
      <c r="F12" t="s">
        <v>76</v>
      </c>
      <c r="G12">
        <v>4.9647095848961902</v>
      </c>
      <c r="H12">
        <v>2E+20</v>
      </c>
      <c r="I12">
        <v>4.1923959781906301</v>
      </c>
      <c r="J12">
        <v>5.8588651214964802</v>
      </c>
      <c r="K12">
        <v>221</v>
      </c>
      <c r="L12" t="str">
        <f>DiscreteStatsTable[[#This Row],[ProjectName]]&amp;DiscreteStatsTable[[#This Row],[Name]]&amp;DiscreteStatsTable[[#This Row],[Type]]&amp;DiscreteStatsTable[[#This Row],[Source]]</f>
        <v>Unnamed ProjectType 2 PassengerTransfer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4.9647095848961902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4.9647095848961902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4.9647095848961902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4.1923959781906301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5.8588651214964802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221</v>
      </c>
      <c r="W12">
        <f>IF((DiscreteStatsTable[[#This Row],[RepsRequested]]&gt;1),DiscreteStatsTable[[#This Row],[HalfWidth]],DiscreteStatsTable[[#This Row],[BatchMeansHalfWidth]])</f>
        <v>2E+20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67</v>
      </c>
      <c r="B13" t="s">
        <v>70</v>
      </c>
      <c r="C13">
        <v>1</v>
      </c>
      <c r="D13" t="s">
        <v>82</v>
      </c>
      <c r="E13" t="s">
        <v>80</v>
      </c>
      <c r="F13" t="s">
        <v>76</v>
      </c>
      <c r="G13">
        <v>11.179913666119701</v>
      </c>
      <c r="H13">
        <v>2E+20</v>
      </c>
      <c r="I13">
        <v>7.5200958002754996</v>
      </c>
      <c r="J13">
        <v>19.067759829024599</v>
      </c>
      <c r="K13">
        <v>221</v>
      </c>
      <c r="L13" t="str">
        <f>DiscreteStatsTable[[#This Row],[ProjectName]]&amp;DiscreteStatsTable[[#This Row],[Name]]&amp;DiscreteStatsTable[[#This Row],[Type]]&amp;DiscreteStatsTable[[#This Row],[Source]]</f>
        <v>Unnamed ProjectType 2 PassengerVA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11.179913666119701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11.179913666119701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11.179913666119701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7.5200958002754996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19.067759829024599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221</v>
      </c>
      <c r="W13">
        <f>IF((DiscreteStatsTable[[#This Row],[RepsRequested]]&gt;1),DiscreteStatsTable[[#This Row],[HalfWidth]],DiscreteStatsTable[[#This Row],[BatchMeansHalfWidth]])</f>
        <v>2E+20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67</v>
      </c>
      <c r="B14" t="s">
        <v>70</v>
      </c>
      <c r="C14">
        <v>1</v>
      </c>
      <c r="D14" t="s">
        <v>82</v>
      </c>
      <c r="E14" t="s">
        <v>81</v>
      </c>
      <c r="F14" t="s">
        <v>76</v>
      </c>
      <c r="G14">
        <v>2.69914588903635</v>
      </c>
      <c r="H14">
        <v>2E+20</v>
      </c>
      <c r="I14">
        <v>0</v>
      </c>
      <c r="J14">
        <v>15.082260948096501</v>
      </c>
      <c r="K14">
        <v>221</v>
      </c>
      <c r="L14" t="str">
        <f>DiscreteStatsTable[[#This Row],[ProjectName]]&amp;DiscreteStatsTable[[#This Row],[Name]]&amp;DiscreteStatsTable[[#This Row],[Type]]&amp;DiscreteStatsTable[[#This Row],[Source]]</f>
        <v>Unnamed ProjectType 2 PassengerWait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2.69914588903635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2.69914588903635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2.69914588903635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15.082260948096501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221</v>
      </c>
      <c r="W14">
        <f>IF((DiscreteStatsTable[[#This Row],[RepsRequested]]&gt;1),DiscreteStatsTable[[#This Row],[HalfWidth]],DiscreteStatsTable[[#This Row],[BatchMeansHalfWidth]])</f>
        <v>2E+20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</v>
      </c>
      <c r="Y14">
        <f>IF(DiscreteStatsTable[[#This Row],[RepsRequested]]=DiscreteStatsTable[[#This Row],[RepsWithStatObserved]],1,0)</f>
        <v>1</v>
      </c>
    </row>
  </sheetData>
  <phoneticPr fontId="2" type="noConversion"/>
  <conditionalFormatting sqref="H2:H14 Q2:Q14">
    <cfRule type="expression" dxfId="20" priority="23">
      <formula>H2=200000000000000000000</formula>
    </cfRule>
  </conditionalFormatting>
  <conditionalFormatting sqref="H2:H14">
    <cfRule type="expression" dxfId="19" priority="21">
      <formula>H2=300000000000000000000</formula>
    </cfRule>
  </conditionalFormatting>
  <conditionalFormatting sqref="L2:Y14">
    <cfRule type="expression" dxfId="18" priority="19">
      <formula>MOD(ROW(),2)=0</formula>
    </cfRule>
  </conditionalFormatting>
  <conditionalFormatting sqref="Y2:Y14">
    <cfRule type="expression" dxfId="17" priority="14">
      <formula>Y2=0</formula>
    </cfRule>
    <cfRule type="expression" dxfId="16" priority="16">
      <formula>Y2=1</formula>
    </cfRule>
  </conditionalFormatting>
  <conditionalFormatting sqref="Y3:Y14">
    <cfRule type="expression" dxfId="15" priority="15">
      <formula>Y3=1</formula>
    </cfRule>
  </conditionalFormatting>
  <conditionalFormatting sqref="W2:W14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4 W2:W14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8"/>
  <sheetViews>
    <sheetView workbookViewId="0">
      <selection activeCell="A2" sqref="A2:L1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9.425781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60.710937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70</v>
      </c>
      <c r="C2">
        <v>1</v>
      </c>
      <c r="D2" t="s">
        <v>83</v>
      </c>
      <c r="E2" t="s">
        <v>84</v>
      </c>
      <c r="F2" t="s">
        <v>85</v>
      </c>
      <c r="G2">
        <v>0.83774555145906004</v>
      </c>
      <c r="H2">
        <v>3E+20</v>
      </c>
      <c r="I2">
        <v>0</v>
      </c>
      <c r="J2">
        <v>1</v>
      </c>
      <c r="K2">
        <v>0.14285714285714299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ProjectCheckin agentInstantaneous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0.83774555145906004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0.83774555145906004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0.83774555145906004</v>
      </c>
      <c r="U2">
        <f>IF((ContinuousStatsTable[[#This Row],[RepsRequested]]&gt;1),ContinuousStatsTable[[#This Row],[HalfWidth]],ContinuousStatsTable[[#This Row],[BatchMeansHalfWidth]])</f>
        <v>3E+20</v>
      </c>
    </row>
    <row r="3" spans="1:21" x14ac:dyDescent="0.25">
      <c r="A3" t="s">
        <v>67</v>
      </c>
      <c r="B3" t="s">
        <v>70</v>
      </c>
      <c r="C3">
        <v>1</v>
      </c>
      <c r="D3" t="s">
        <v>83</v>
      </c>
      <c r="E3" t="s">
        <v>86</v>
      </c>
      <c r="F3" t="s">
        <v>85</v>
      </c>
      <c r="G3">
        <v>5.2855070512373903</v>
      </c>
      <c r="H3">
        <v>3E+20</v>
      </c>
      <c r="I3">
        <v>0</v>
      </c>
      <c r="J3">
        <v>7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ProjectCheckin agentNumber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5.2855070512373903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5.2855070512373903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5.2855070512373903</v>
      </c>
      <c r="U3">
        <f>IF((ContinuousStatsTable[[#This Row],[RepsRequested]]&gt;1),ContinuousStatsTable[[#This Row],[HalfWidth]],ContinuousStatsTable[[#This Row],[BatchMeansHalfWidth]])</f>
        <v>3E+20</v>
      </c>
    </row>
    <row r="4" spans="1:21" x14ac:dyDescent="0.25">
      <c r="A4" t="s">
        <v>67</v>
      </c>
      <c r="B4" t="s">
        <v>70</v>
      </c>
      <c r="C4">
        <v>1</v>
      </c>
      <c r="D4" t="s">
        <v>83</v>
      </c>
      <c r="E4" t="s">
        <v>87</v>
      </c>
      <c r="F4" t="s">
        <v>85</v>
      </c>
      <c r="G4">
        <v>6.3419961880207296</v>
      </c>
      <c r="H4">
        <v>2E+20</v>
      </c>
      <c r="I4">
        <v>6</v>
      </c>
      <c r="J4">
        <v>7</v>
      </c>
      <c r="K4">
        <v>7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ProjectCheckin agentNumber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6.3419961880207296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6.3419961880207296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6.3419961880207296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25">
      <c r="A5" t="s">
        <v>67</v>
      </c>
      <c r="B5" t="s">
        <v>70</v>
      </c>
      <c r="C5">
        <v>1</v>
      </c>
      <c r="D5" t="s">
        <v>71</v>
      </c>
      <c r="E5" t="s">
        <v>88</v>
      </c>
      <c r="F5" t="s">
        <v>73</v>
      </c>
      <c r="G5">
        <v>1.79544023965526</v>
      </c>
      <c r="H5">
        <v>3E+20</v>
      </c>
      <c r="I5">
        <v>0</v>
      </c>
      <c r="J5">
        <v>13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ProjectCheckin desk.QueueNumber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1.79544023965526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1.79544023965526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1.79544023965526</v>
      </c>
      <c r="U5">
        <f>IF((ContinuousStatsTable[[#This Row],[RepsRequested]]&gt;1),ContinuousStatsTable[[#This Row],[HalfWidth]],ContinuousStatsTable[[#This Row],[BatchMeansHalfWidth]])</f>
        <v>3E+20</v>
      </c>
    </row>
    <row r="6" spans="1:21" x14ac:dyDescent="0.25">
      <c r="A6" t="s">
        <v>67</v>
      </c>
      <c r="B6" t="s">
        <v>70</v>
      </c>
      <c r="C6">
        <v>1</v>
      </c>
      <c r="D6" t="s">
        <v>89</v>
      </c>
      <c r="E6" t="s">
        <v>90</v>
      </c>
      <c r="F6" t="s">
        <v>76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ProjectPassengerWIPEntity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25">
      <c r="A7" t="s">
        <v>67</v>
      </c>
      <c r="B7" t="s">
        <v>70</v>
      </c>
      <c r="C7">
        <v>1</v>
      </c>
      <c r="D7" t="s">
        <v>74</v>
      </c>
      <c r="E7" t="s">
        <v>90</v>
      </c>
      <c r="F7" t="s">
        <v>76</v>
      </c>
      <c r="G7">
        <v>6.0906899152116099</v>
      </c>
      <c r="H7">
        <v>3E+20</v>
      </c>
      <c r="I7">
        <v>0</v>
      </c>
      <c r="J7">
        <v>15</v>
      </c>
      <c r="K7">
        <v>3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ProjectType 1 PassengerWIPEntity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6.0906899152116099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6.0906899152116099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6.0906899152116099</v>
      </c>
      <c r="U7">
        <f>IF((ContinuousStatsTable[[#This Row],[RepsRequested]]&gt;1),ContinuousStatsTable[[#This Row],[HalfWidth]],ContinuousStatsTable[[#This Row],[BatchMeansHalfWidth]])</f>
        <v>3E+20</v>
      </c>
    </row>
    <row r="8" spans="1:21" x14ac:dyDescent="0.25">
      <c r="A8" t="s">
        <v>67</v>
      </c>
      <c r="B8" t="s">
        <v>70</v>
      </c>
      <c r="C8">
        <v>1</v>
      </c>
      <c r="D8" t="s">
        <v>82</v>
      </c>
      <c r="E8" t="s">
        <v>90</v>
      </c>
      <c r="F8" t="s">
        <v>76</v>
      </c>
      <c r="G8">
        <v>4.3379926874495203</v>
      </c>
      <c r="H8">
        <v>3E+20</v>
      </c>
      <c r="I8">
        <v>0</v>
      </c>
      <c r="J8">
        <v>11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ProjectType 2 PassengerWIPEntity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4.3379926874495203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4.3379926874495203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4.3379926874495203</v>
      </c>
      <c r="U8">
        <f>IF((ContinuousStatsTable[[#This Row],[RepsRequested]]&gt;1),ContinuousStatsTable[[#This Row],[HalfWidth]],ContinuousStatsTable[[#This Row],[BatchMeansHalfWidth]])</f>
        <v>3E+20</v>
      </c>
    </row>
  </sheetData>
  <phoneticPr fontId="2" type="noConversion"/>
  <conditionalFormatting sqref="H2:H8">
    <cfRule type="expression" dxfId="11" priority="9">
      <formula>H2=200000000000000000000</formula>
    </cfRule>
  </conditionalFormatting>
  <conditionalFormatting sqref="H2:H8">
    <cfRule type="expression" dxfId="10" priority="7">
      <formula>H2=300000000000000000000</formula>
    </cfRule>
  </conditionalFormatting>
  <conditionalFormatting sqref="M2:U8">
    <cfRule type="expression" dxfId="9" priority="5">
      <formula>MOD(ROW(),2)=0</formula>
    </cfRule>
  </conditionalFormatting>
  <conditionalFormatting sqref="U2:U8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8 U2:U8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0"/>
  <sheetViews>
    <sheetView workbookViewId="0">
      <selection activeCell="A2" sqref="A2:H3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33.1406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77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70</v>
      </c>
      <c r="C2">
        <v>1</v>
      </c>
      <c r="D2" t="s">
        <v>91</v>
      </c>
      <c r="E2" t="s">
        <v>92</v>
      </c>
      <c r="F2" t="s">
        <v>85</v>
      </c>
      <c r="G2">
        <v>647</v>
      </c>
      <c r="H2">
        <v>0</v>
      </c>
      <c r="I2" t="str">
        <f>OutputTable[[#This Row],[ProjectName]]&amp;OutputTable[[#This Row],[Name]]&amp;OutputTable[[#This Row],[Type]]&amp;OutputTable[[#This Row],[Source]]</f>
        <v>Unnamed ProjectCheckin agent.NumberSeizedTotal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647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647</v>
      </c>
      <c r="P2" cm="1">
        <f t="array" ref="P2">MAX(IF((OutputTable[GroupByKey]=OutputTable[[#This Row],[GroupByKey]]),(OutputTable[GroupByKey]=OutputTable[[#This Row],[GroupByKey]])*OutputTable[RecordedValue]))</f>
        <v>647</v>
      </c>
    </row>
    <row r="3" spans="1:16" x14ac:dyDescent="0.25">
      <c r="A3" t="s">
        <v>67</v>
      </c>
      <c r="B3" t="s">
        <v>70</v>
      </c>
      <c r="C3">
        <v>1</v>
      </c>
      <c r="D3" t="s">
        <v>93</v>
      </c>
      <c r="E3" t="s">
        <v>94</v>
      </c>
      <c r="F3" t="s">
        <v>85</v>
      </c>
      <c r="G3">
        <v>0.83341378558711199</v>
      </c>
      <c r="H3">
        <v>0</v>
      </c>
      <c r="I3" t="str">
        <f>OutputTable[[#This Row],[ProjectName]]&amp;OutputTable[[#This Row],[Name]]&amp;OutputTable[[#This Row],[Type]]&amp;OutputTable[[#This Row],[Source]]</f>
        <v>Unnamed ProjectCheckin agent.ScheduledUtilizationScheduled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0.83341378558711199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0.83341378558711199</v>
      </c>
      <c r="P3" cm="1">
        <f t="array" ref="P3">MAX(IF((OutputTable[GroupByKey]=OutputTable[[#This Row],[GroupByKey]]),(OutputTable[GroupByKey]=OutputTable[[#This Row],[GroupByKey]])*OutputTable[RecordedValue]))</f>
        <v>0.83341378558711199</v>
      </c>
    </row>
    <row r="4" spans="1:16" x14ac:dyDescent="0.25">
      <c r="A4" t="s">
        <v>67</v>
      </c>
      <c r="B4" t="s">
        <v>70</v>
      </c>
      <c r="C4">
        <v>1</v>
      </c>
      <c r="D4" t="s">
        <v>95</v>
      </c>
      <c r="E4" t="s">
        <v>96</v>
      </c>
      <c r="F4" t="s">
        <v>76</v>
      </c>
      <c r="G4">
        <v>0</v>
      </c>
      <c r="H4">
        <v>0</v>
      </c>
      <c r="I4" t="str">
        <f>OutputTable[[#This Row],[ProjectName]]&amp;OutputTable[[#This Row],[Name]]&amp;OutputTable[[#This Row],[Type]]&amp;OutputTable[[#This Row],[Source]]</f>
        <v>Unnamed ProjectPassenger.NumberInNumber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0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0</v>
      </c>
      <c r="P4" cm="1">
        <f t="array" ref="P4">MAX(IF((OutputTable[GroupByKey]=OutputTable[[#This Row],[GroupByKey]]),(OutputTable[GroupByKey]=OutputTable[[#This Row],[GroupByKey]])*OutputTable[RecordedValue]))</f>
        <v>0</v>
      </c>
    </row>
    <row r="5" spans="1:16" x14ac:dyDescent="0.25">
      <c r="A5" t="s">
        <v>67</v>
      </c>
      <c r="B5" t="s">
        <v>70</v>
      </c>
      <c r="C5">
        <v>1</v>
      </c>
      <c r="D5" t="s">
        <v>97</v>
      </c>
      <c r="E5" t="s">
        <v>98</v>
      </c>
      <c r="F5" t="s">
        <v>76</v>
      </c>
      <c r="G5">
        <v>0</v>
      </c>
      <c r="H5">
        <v>0</v>
      </c>
      <c r="I5" t="str">
        <f>OutputTable[[#This Row],[ProjectName]]&amp;OutputTable[[#This Row],[Name]]&amp;OutputTable[[#This Row],[Type]]&amp;OutputTable[[#This Row],[Source]]</f>
        <v>Unnamed ProjectPassenger.NumberOutNumber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0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0</v>
      </c>
      <c r="P5" cm="1">
        <f t="array" ref="P5">MAX(IF((OutputTable[GroupByKey]=OutputTable[[#This Row],[GroupByKey]]),(OutputTable[GroupByKey]=OutputTable[[#This Row],[GroupByKey]])*OutputTable[RecordedValue]))</f>
        <v>0</v>
      </c>
    </row>
    <row r="6" spans="1:16" x14ac:dyDescent="0.25">
      <c r="A6" t="s">
        <v>67</v>
      </c>
      <c r="B6" t="s">
        <v>70</v>
      </c>
      <c r="C6">
        <v>1</v>
      </c>
      <c r="D6" t="s">
        <v>99</v>
      </c>
      <c r="E6" t="s">
        <v>98</v>
      </c>
      <c r="F6" t="s">
        <v>100</v>
      </c>
      <c r="G6">
        <v>645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645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645</v>
      </c>
      <c r="P6" cm="1">
        <f t="array" ref="P6">MAX(IF((OutputTable[GroupByKey]=OutputTable[[#This Row],[GroupByKey]]),(OutputTable[GroupByKey]=OutputTable[[#This Row],[GroupByKey]])*OutputTable[RecordedValue]))</f>
        <v>645</v>
      </c>
    </row>
    <row r="7" spans="1:16" x14ac:dyDescent="0.25">
      <c r="A7" t="s">
        <v>67</v>
      </c>
      <c r="B7" t="s">
        <v>70</v>
      </c>
      <c r="C7">
        <v>1</v>
      </c>
      <c r="D7" t="s">
        <v>101</v>
      </c>
      <c r="E7" t="s">
        <v>96</v>
      </c>
      <c r="F7" t="s">
        <v>76</v>
      </c>
      <c r="G7">
        <v>427</v>
      </c>
      <c r="H7">
        <v>0</v>
      </c>
      <c r="I7" t="str">
        <f>OutputTable[[#This Row],[ProjectName]]&amp;OutputTable[[#This Row],[Name]]&amp;OutputTable[[#This Row],[Type]]&amp;OutputTable[[#This Row],[Source]]</f>
        <v>Unnamed ProjectType 1 Passenger.NumberInNumber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427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427</v>
      </c>
      <c r="P7" cm="1">
        <f t="array" ref="P7">MAX(IF((OutputTable[GroupByKey]=OutputTable[[#This Row],[GroupByKey]]),(OutputTable[GroupByKey]=OutputTable[[#This Row],[GroupByKey]])*OutputTable[RecordedValue]))</f>
        <v>427</v>
      </c>
    </row>
    <row r="8" spans="1:16" x14ac:dyDescent="0.25">
      <c r="A8" t="s">
        <v>67</v>
      </c>
      <c r="B8" t="s">
        <v>70</v>
      </c>
      <c r="C8">
        <v>1</v>
      </c>
      <c r="D8" t="s">
        <v>102</v>
      </c>
      <c r="E8" t="s">
        <v>98</v>
      </c>
      <c r="F8" t="s">
        <v>76</v>
      </c>
      <c r="G8">
        <v>424</v>
      </c>
      <c r="H8">
        <v>0</v>
      </c>
      <c r="I8" t="str">
        <f>OutputTable[[#This Row],[ProjectName]]&amp;OutputTable[[#This Row],[Name]]&amp;OutputTable[[#This Row],[Type]]&amp;OutputTable[[#This Row],[Source]]</f>
        <v>Unnamed ProjectType 1 Passenger.NumberOutNumber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424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424</v>
      </c>
      <c r="P8" cm="1">
        <f t="array" ref="P8">MAX(IF((OutputTable[GroupByKey]=OutputTable[[#This Row],[GroupByKey]]),(OutputTable[GroupByKey]=OutputTable[[#This Row],[GroupByKey]])*OutputTable[RecordedValue]))</f>
        <v>424</v>
      </c>
    </row>
    <row r="9" spans="1:16" x14ac:dyDescent="0.25">
      <c r="A9" t="s">
        <v>67</v>
      </c>
      <c r="B9" t="s">
        <v>70</v>
      </c>
      <c r="C9">
        <v>1</v>
      </c>
      <c r="D9" t="s">
        <v>103</v>
      </c>
      <c r="E9" t="s">
        <v>96</v>
      </c>
      <c r="F9" t="s">
        <v>76</v>
      </c>
      <c r="G9">
        <v>221</v>
      </c>
      <c r="H9">
        <v>0</v>
      </c>
      <c r="I9" t="str">
        <f>OutputTable[[#This Row],[ProjectName]]&amp;OutputTable[[#This Row],[Name]]&amp;OutputTable[[#This Row],[Type]]&amp;OutputTable[[#This Row],[Source]]</f>
        <v>Unnamed ProjectType 2 Passenger.NumberInNumber InEntity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1</v>
      </c>
      <c r="K9" cm="1">
        <f t="array" ref="K9">IFERROR(AVERAGE(IF((OutputTable[GroupByKey]=OutputTable[[#This Row],[GroupByKey]]),(OutputTable[GroupByKey]=OutputTable[[#This Row],[GroupByKey]])*OutputTable[RecordedValue])),0)</f>
        <v>221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cm="1">
        <f t="array" ref="O9">MIN(IF((OutputTable[GroupByKey]=OutputTable[[#This Row],[GroupByKey]]),(OutputTable[GroupByKey]=OutputTable[[#This Row],[GroupByKey]])*OutputTable[RecordedValue]))</f>
        <v>221</v>
      </c>
      <c r="P9" cm="1">
        <f t="array" ref="P9">MAX(IF((OutputTable[GroupByKey]=OutputTable[[#This Row],[GroupByKey]]),(OutputTable[GroupByKey]=OutputTable[[#This Row],[GroupByKey]])*OutputTable[RecordedValue]))</f>
        <v>221</v>
      </c>
    </row>
    <row r="10" spans="1:16" x14ac:dyDescent="0.25">
      <c r="A10" t="s">
        <v>67</v>
      </c>
      <c r="B10" t="s">
        <v>70</v>
      </c>
      <c r="C10">
        <v>1</v>
      </c>
      <c r="D10" t="s">
        <v>104</v>
      </c>
      <c r="E10" t="s">
        <v>98</v>
      </c>
      <c r="F10" t="s">
        <v>76</v>
      </c>
      <c r="G10">
        <v>221</v>
      </c>
      <c r="H10">
        <v>0</v>
      </c>
      <c r="I10" t="str">
        <f>OutputTable[[#This Row],[ProjectName]]&amp;OutputTable[[#This Row],[Name]]&amp;OutputTable[[#This Row],[Type]]&amp;OutputTable[[#This Row],[Source]]</f>
        <v>Unnamed ProjectType 2 Passenger.NumberOutNumber OutEntity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1</v>
      </c>
      <c r="K10" cm="1">
        <f t="array" ref="K10">IFERROR(AVERAGE(IF((OutputTable[GroupByKey]=OutputTable[[#This Row],[GroupByKey]]),(OutputTable[GroupByKey]=OutputTable[[#This Row],[GroupByKey]])*OutputTable[RecordedValue])),0)</f>
        <v>221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cm="1">
        <f t="array" ref="O10">MIN(IF((OutputTable[GroupByKey]=OutputTable[[#This Row],[GroupByKey]]),(OutputTable[GroupByKey]=OutputTable[[#This Row],[GroupByKey]])*OutputTable[RecordedValue]))</f>
        <v>221</v>
      </c>
      <c r="P10" cm="1">
        <f t="array" ref="P10">MAX(IF((OutputTable[GroupByKey]=OutputTable[[#This Row],[GroupByKey]]),(OutputTable[GroupByKey]=OutputTable[[#This Row],[GroupByKey]])*OutputTable[RecordedValue]))</f>
        <v>221</v>
      </c>
    </row>
  </sheetData>
  <phoneticPr fontId="2" type="noConversion"/>
  <conditionalFormatting sqref="I2:P10">
    <cfRule type="expression" dxfId="3" priority="2">
      <formula>MOD(ROW(),2)=0</formula>
    </cfRule>
  </conditionalFormatting>
  <conditionalFormatting sqref="N2:N10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Bashir Adlan</cp:lastModifiedBy>
  <cp:lastPrinted>2022-03-22T10:33:10Z</cp:lastPrinted>
  <dcterms:created xsi:type="dcterms:W3CDTF">2020-06-29T21:30:31Z</dcterms:created>
  <dcterms:modified xsi:type="dcterms:W3CDTF">2026-02-04T15:39:45Z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