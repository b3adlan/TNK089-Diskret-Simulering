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wnloads\lab2_data_files\"/>
    </mc:Choice>
  </mc:AlternateContent>
  <xr:revisionPtr revIDLastSave="0" documentId="13_ncr:1_{E83A34ED-FCDC-453D-AA50-3A17C954AE9B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91" r:id="rId8"/>
    <pivotCache cacheId="198" r:id="rId9"/>
    <pivotCache cacheId="205" r:id="rId10"/>
    <pivotCache cacheId="212" r:id="rId11"/>
    <pivotCache cacheId="21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L4" i="20" s="1" a="1"/>
  <c r="L4" i="20" s="1"/>
  <c r="I5" i="20"/>
  <c r="I6" i="20"/>
  <c r="K6" i="20" s="1" a="1"/>
  <c r="K6" i="20" s="1"/>
  <c r="J2" i="20" a="1"/>
  <c r="J2" i="20"/>
  <c r="J3" i="20" a="1"/>
  <c r="J3" i="20"/>
  <c r="J4" i="20" a="1"/>
  <c r="J4" i="20"/>
  <c r="J5" i="20" a="1"/>
  <c r="J5" i="20"/>
  <c r="J6" i="20" a="1"/>
  <c r="J6" i="20"/>
  <c r="K2" i="20" a="1"/>
  <c r="K2" i="20" s="1"/>
  <c r="K3" i="20" a="1"/>
  <c r="K3" i="20" s="1"/>
  <c r="K4" i="20" a="1"/>
  <c r="K4" i="20" s="1"/>
  <c r="L2" i="20" a="1"/>
  <c r="L2" i="20" s="1"/>
  <c r="L3" i="20" a="1"/>
  <c r="L3" i="20" s="1"/>
  <c r="M2" i="20" a="1"/>
  <c r="M2" i="20"/>
  <c r="M3" i="20" a="1"/>
  <c r="M3" i="20"/>
  <c r="M4" i="20" a="1"/>
  <c r="M4" i="20" s="1"/>
  <c r="M5" i="20" a="1"/>
  <c r="M5" i="20"/>
  <c r="M6" i="20" a="1"/>
  <c r="M6" i="20" s="1"/>
  <c r="O2" i="20" a="1"/>
  <c r="O2" i="20" s="1"/>
  <c r="O3" i="20" a="1"/>
  <c r="O3" i="20" s="1"/>
  <c r="O4" i="20" a="1"/>
  <c r="O4" i="20"/>
  <c r="O5" i="20" a="1"/>
  <c r="O5" i="20"/>
  <c r="O6" i="20" a="1"/>
  <c r="O6" i="20" s="1"/>
  <c r="P6" i="20" a="1"/>
  <c r="P6" i="20" s="1"/>
  <c r="M2" i="18"/>
  <c r="M3" i="18"/>
  <c r="M4" i="18"/>
  <c r="M5" i="18"/>
  <c r="T4" i="18" s="1" a="1"/>
  <c r="T4" i="18" s="1"/>
  <c r="M6" i="18"/>
  <c r="O6" i="18" s="1" a="1"/>
  <c r="O6" i="18" s="1"/>
  <c r="N2" i="18" a="1"/>
  <c r="N2" i="18"/>
  <c r="N3" i="18" a="1"/>
  <c r="N3" i="18"/>
  <c r="N4" i="18" a="1"/>
  <c r="N4" i="18"/>
  <c r="U4" i="18" s="1"/>
  <c r="N5" i="18" a="1"/>
  <c r="N5" i="18" s="1"/>
  <c r="N6" i="18" a="1"/>
  <c r="N6" i="18"/>
  <c r="U6" i="18" s="1"/>
  <c r="O2" i="18" a="1"/>
  <c r="O2" i="18" s="1"/>
  <c r="O3" i="18" a="1"/>
  <c r="O3" i="18" s="1"/>
  <c r="O4" i="18" a="1"/>
  <c r="O4" i="18" s="1"/>
  <c r="P2" i="18" a="1"/>
  <c r="P2" i="18"/>
  <c r="P6" i="18" a="1"/>
  <c r="P6" i="18" s="1"/>
  <c r="Q2" i="18" a="1"/>
  <c r="Q2" i="18" s="1"/>
  <c r="Q3" i="18" a="1"/>
  <c r="Q3" i="18"/>
  <c r="Q4" i="18" a="1"/>
  <c r="Q4" i="18" s="1"/>
  <c r="Q5" i="18" a="1"/>
  <c r="Q5" i="18"/>
  <c r="Q6" i="18" a="1"/>
  <c r="Q6" i="18"/>
  <c r="S2" i="18" a="1"/>
  <c r="S2" i="18"/>
  <c r="S3" i="18" a="1"/>
  <c r="S3" i="18" s="1"/>
  <c r="S4" i="18" a="1"/>
  <c r="S4" i="18" s="1"/>
  <c r="T5" i="18" a="1"/>
  <c r="T5" i="18" s="1"/>
  <c r="T6" i="18" a="1"/>
  <c r="T6" i="18"/>
  <c r="U2" i="18"/>
  <c r="U3" i="18"/>
  <c r="L2" i="17"/>
  <c r="L3" i="17"/>
  <c r="O2" i="17" s="1" a="1"/>
  <c r="O2" i="17" s="1"/>
  <c r="L4" i="17"/>
  <c r="L5" i="17"/>
  <c r="O4" i="17" s="1" a="1"/>
  <c r="O4" i="17" s="1"/>
  <c r="L6" i="17"/>
  <c r="V5" i="17" s="1" a="1"/>
  <c r="V5" i="17" s="1"/>
  <c r="L7" i="17"/>
  <c r="L8" i="17"/>
  <c r="R8" i="17" s="1" a="1"/>
  <c r="R8" i="17" s="1"/>
  <c r="M2" i="17" a="1"/>
  <c r="M2" i="17"/>
  <c r="W2" i="17" s="1"/>
  <c r="M3" i="17" a="1"/>
  <c r="M3" i="17"/>
  <c r="W3" i="17" s="1"/>
  <c r="M4" i="17" a="1"/>
  <c r="M4" i="17"/>
  <c r="W4" i="17" s="1"/>
  <c r="M5" i="17" a="1"/>
  <c r="M5" i="17"/>
  <c r="W5" i="17" s="1"/>
  <c r="M6" i="17" a="1"/>
  <c r="M6" i="17"/>
  <c r="W6" i="17" s="1"/>
  <c r="M7" i="17" a="1"/>
  <c r="M7" i="17"/>
  <c r="W7" i="17" s="1"/>
  <c r="M8" i="17" a="1"/>
  <c r="M8" i="17" s="1"/>
  <c r="P2" i="17" a="1"/>
  <c r="P2" i="17"/>
  <c r="P3" i="17" a="1"/>
  <c r="P3" i="17"/>
  <c r="P4" i="17" a="1"/>
  <c r="P4" i="17"/>
  <c r="P5" i="17" a="1"/>
  <c r="P5" i="17"/>
  <c r="P6" i="17" a="1"/>
  <c r="P6" i="17" s="1"/>
  <c r="P7" i="17" a="1"/>
  <c r="P7" i="17" s="1"/>
  <c r="P8" i="17" a="1"/>
  <c r="P8" i="17"/>
  <c r="R3" i="17" a="1"/>
  <c r="R3" i="17" s="1"/>
  <c r="R4" i="17" a="1"/>
  <c r="R4" i="17" s="1"/>
  <c r="S4" i="17" a="1"/>
  <c r="S4" i="17" s="1"/>
  <c r="S5" i="17" a="1"/>
  <c r="S5" i="17" s="1"/>
  <c r="T2" i="17" a="1"/>
  <c r="T2" i="17" s="1"/>
  <c r="T6" i="17" a="1"/>
  <c r="T6" i="17" s="1"/>
  <c r="T7" i="17" a="1"/>
  <c r="T7" i="17" s="1"/>
  <c r="T8" i="17" a="1"/>
  <c r="T8" i="17" s="1"/>
  <c r="U2" i="17" a="1"/>
  <c r="U2" i="17"/>
  <c r="U3" i="17" a="1"/>
  <c r="U3" i="17" s="1"/>
  <c r="V7" i="17" a="1"/>
  <c r="V7" i="17" s="1"/>
  <c r="V8" i="17" a="1"/>
  <c r="V8" i="17" s="1"/>
  <c r="X2" i="17" a="1"/>
  <c r="X2" i="17"/>
  <c r="X3" i="17" a="1"/>
  <c r="X3" i="17" s="1"/>
  <c r="X4" i="17" a="1"/>
  <c r="X4" i="17" s="1"/>
  <c r="X8" i="17" a="1"/>
  <c r="X8" i="17" s="1"/>
  <c r="G2" i="16"/>
  <c r="P5" i="20" l="1" a="1"/>
  <c r="P5" i="20" s="1"/>
  <c r="P2" i="20" a="1"/>
  <c r="P2" i="20" s="1"/>
  <c r="N4" i="20"/>
  <c r="K5" i="20" a="1"/>
  <c r="K5" i="20" s="1"/>
  <c r="L6" i="20" a="1"/>
  <c r="L6" i="20" s="1"/>
  <c r="N6" i="20" s="1"/>
  <c r="P4" i="20" a="1"/>
  <c r="P4" i="20" s="1"/>
  <c r="L5" i="20" a="1"/>
  <c r="L5" i="20" s="1"/>
  <c r="N5" i="20" s="1"/>
  <c r="N3" i="20"/>
  <c r="N2" i="20"/>
  <c r="P3" i="20" a="1"/>
  <c r="P3" i="20" s="1"/>
  <c r="R2" i="18"/>
  <c r="P5" i="18" a="1"/>
  <c r="P5" i="18" s="1"/>
  <c r="T2" i="18" a="1"/>
  <c r="T2" i="18" s="1"/>
  <c r="R6" i="18"/>
  <c r="O5" i="18" a="1"/>
  <c r="O5" i="18" s="1"/>
  <c r="P4" i="18" a="1"/>
  <c r="P4" i="18" s="1"/>
  <c r="R4" i="18" s="1"/>
  <c r="S6" i="18" a="1"/>
  <c r="S6" i="18" s="1"/>
  <c r="S5" i="18" a="1"/>
  <c r="S5" i="18" s="1"/>
  <c r="P3" i="18" a="1"/>
  <c r="P3" i="18" s="1"/>
  <c r="R3" i="18" s="1"/>
  <c r="R5" i="18"/>
  <c r="U5" i="18"/>
  <c r="T3" i="18" a="1"/>
  <c r="T3" i="18" s="1"/>
  <c r="S7" i="17" a="1"/>
  <c r="S7" i="17" s="1"/>
  <c r="V2" i="17" a="1"/>
  <c r="V2" i="17" s="1"/>
  <c r="V6" i="17" a="1"/>
  <c r="V6" i="17" s="1"/>
  <c r="O8" i="17" a="1"/>
  <c r="O8" i="17" s="1"/>
  <c r="U5" i="17" a="1"/>
  <c r="U5" i="17" s="1"/>
  <c r="R5" i="17" a="1"/>
  <c r="R5" i="17" s="1"/>
  <c r="O3" i="17" a="1"/>
  <c r="O3" i="17" s="1"/>
  <c r="S3" i="17" a="1"/>
  <c r="S3" i="17" s="1"/>
  <c r="N6" i="17" a="1"/>
  <c r="N6" i="17" s="1"/>
  <c r="R6" i="17" a="1"/>
  <c r="R6" i="17" s="1"/>
  <c r="U4" i="17" a="1"/>
  <c r="U4" i="17" s="1"/>
  <c r="V4" i="17" a="1"/>
  <c r="V4" i="17" s="1"/>
  <c r="N8" i="17" a="1"/>
  <c r="N8" i="17" s="1"/>
  <c r="R2" i="17" a="1"/>
  <c r="R2" i="17" s="1"/>
  <c r="V3" i="17" a="1"/>
  <c r="V3" i="17" s="1"/>
  <c r="N7" i="17" a="1"/>
  <c r="N7" i="17" s="1"/>
  <c r="O5" i="17" a="1"/>
  <c r="O5" i="17" s="1"/>
  <c r="X5" i="17" a="1"/>
  <c r="X5" i="17" s="1"/>
  <c r="Y5" i="17" s="1"/>
  <c r="Q5" i="17" s="1"/>
  <c r="T3" i="17" a="1"/>
  <c r="T3" i="17" s="1"/>
  <c r="X7" i="17" a="1"/>
  <c r="X7" i="17" s="1"/>
  <c r="Y7" i="17" s="1"/>
  <c r="R7" i="17" a="1"/>
  <c r="R7" i="17" s="1"/>
  <c r="S8" i="17" a="1"/>
  <c r="S8" i="17" s="1"/>
  <c r="U6" i="17" a="1"/>
  <c r="U6" i="17" s="1"/>
  <c r="X6" i="17" a="1"/>
  <c r="X6" i="17" s="1"/>
  <c r="N2" i="17" a="1"/>
  <c r="N2" i="17" s="1"/>
  <c r="S6" i="17" a="1"/>
  <c r="S6" i="17" s="1"/>
  <c r="N5" i="17" a="1"/>
  <c r="N5" i="17" s="1"/>
  <c r="W8" i="17"/>
  <c r="Y8" i="17"/>
  <c r="Q8" i="17" s="1"/>
  <c r="Y6" i="17"/>
  <c r="O7" i="17" a="1"/>
  <c r="O7" i="17" s="1"/>
  <c r="N4" i="17" a="1"/>
  <c r="N4" i="17" s="1"/>
  <c r="U8" i="17" a="1"/>
  <c r="U8" i="17" s="1"/>
  <c r="T5" i="17" a="1"/>
  <c r="T5" i="17" s="1"/>
  <c r="S2" i="17" a="1"/>
  <c r="S2" i="17" s="1"/>
  <c r="Y4" i="17"/>
  <c r="Q4" i="17" s="1"/>
  <c r="O6" i="17" a="1"/>
  <c r="O6" i="17" s="1"/>
  <c r="N3" i="17" a="1"/>
  <c r="N3" i="17" s="1"/>
  <c r="Y3" i="17"/>
  <c r="Q3" i="17" s="1"/>
  <c r="U7" i="17" a="1"/>
  <c r="U7" i="17" s="1"/>
  <c r="T4" i="17" a="1"/>
  <c r="T4" i="17" s="1"/>
  <c r="Y2" i="17"/>
  <c r="Q2" i="17" s="1"/>
  <c r="Q6" i="17" l="1"/>
  <c r="Q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wnloads\lab2_data_files\team04_uppgift2_1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<sst xmlns="http://schemas.openxmlformats.org/spreadsheetml/2006/main" count="297" uniqueCount="99">
  <si>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</si>
  <si>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</si>
  <si>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</si>
  <si>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</si>
  <si>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</si>
  <si>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</si>
  <si>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</si>
  <si>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</si>
  <si>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</si>
  <si>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</si>
  <si>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</si>
  <si>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</si>
  <si>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</si>
  <si>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</si>
  <si>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</si>
  <si>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</si>
  <si>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</si>
  <si>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</si>
  <si>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</si>
  <si>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</si>
  <si>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</si>
  <si>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</si>
  <si>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</si>
  <si>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</si>
  <si>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</si>
  <si>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</si>
  <si>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</si>
  <si>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</si>
  <si>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</si>
  <si>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</si>
  <si>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</si>
  <si>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</si>
  <si>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</si>
  <si>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</si>
  <si>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</si>
  <si>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</si>
  <si>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</si>
  <si>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</si>
  <si>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</si>
  <si>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</si>
  <si>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</si>
  <si>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</si>
  <si>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</si>
  <si>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</si>
  <si>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</si>
  <si>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</si>
  <si>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</si>
  <si>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</si>
  <si>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</si>
  <si>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</si>
  <si>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</si>
  <si>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</si>
  <si>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</si>
  <si>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</si>
  <si>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</si>
  <si>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</si>
  <si>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</si>
  <si>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</si>
  <si>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</si>
  <si>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</si>
  <si>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</si>
  <si>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</si>
  <si>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</si>
  <si>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</si>
  <si>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</si>
  <si>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</si>
  <si>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</si>
  <si>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</si>
  <si>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</si>
  <si>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\\filur03.it.liu.se\students\basad559\Downloads\lab2_data_files\team04_uppgift2_1b.p</t>
  </si>
  <si>
    <t>2026-02-04 14:42:22</t>
  </si>
  <si>
    <t>Checkin desk.Queue</t>
  </si>
  <si>
    <t>Waiting Time</t>
  </si>
  <si>
    <t>Queue</t>
  </si>
  <si>
    <t>Passenger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</si>
  <si>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</si>
  <si>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</si>
  <si>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</si>
  <si>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</si>
  <si>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</si>
  <si>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</si>
  <si>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</si>
  <si>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Checkin agent</t>
  </si>
  <si>
    <t>Instantaneous Utilization</t>
  </si>
  <si>
    <t>Resource</t>
  </si>
  <si>
    <t>Number Busy</t>
  </si>
  <si>
    <t>Number Scheduled</t>
  </si>
  <si>
    <t>Number Waiting</t>
  </si>
  <si>
    <t>WIP</t>
  </si>
  <si>
    <t>Checkin agent.NumberSeized</t>
  </si>
  <si>
    <t>Total Number Seized</t>
  </si>
  <si>
    <t>Checkin agent.ScheduledUtilization</t>
  </si>
  <si>
    <t>Scheduled Utilization</t>
  </si>
  <si>
    <t>Passenger.NumberIn</t>
  </si>
  <si>
    <t>Number In</t>
  </si>
  <si>
    <t>Passenger.NumberOut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</si>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</sst>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12878587963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Checkin agent"/>
        <s v="Checkin desk.Queue"/>
        <s v="Passeng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95434015274287598" maxValue="21.005736251364599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1" maxValue="62"/>
    </cacheField>
    <cacheField name="LastRecordedValue" numFmtId="0">
      <sharedItems containsSemiMixedTypes="0" containsString="0" containsNumber="1" containsInteger="1" minValue="1" maxValue="5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5434015274287598" maxValue="21.0057362513645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5434015274287598" maxValue="21.005736251364599"/>
    </cacheField>
    <cacheField name="MaximumAverage" numFmtId="0">
      <sharedItems containsSemiMixedTypes="0" containsString="0" containsNumber="1" minValue="0.95434015274287598" maxValue="21.005736251364599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1287870370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12878935186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heckin desk.Queue"/>
        <s v="Passeng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0.1683023062346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7.10821696862791"/>
    </cacheField>
    <cacheField name="Maximum" numFmtId="0">
      <sharedItems containsSemiMixedTypes="0" containsString="0" containsNumber="1" minValue="0" maxValue="84.630373665531195"/>
    </cacheField>
    <cacheField name="NumberObservations" numFmtId="0">
      <sharedItems containsSemiMixedTypes="0" containsString="0" containsNumber="1" containsInteger="1" minValue="591" maxValue="599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0.1683023062346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0.168302306234601"/>
    </cacheField>
    <cacheField name="MaximumAverage" numFmtId="0">
      <sharedItems containsSemiMixedTypes="0" containsString="0" containsNumber="1" minValue="0" maxValue="30.168302306234601"/>
    </cacheField>
    <cacheField name="OverallMinimum" numFmtId="0">
      <sharedItems containsSemiMixedTypes="0" containsString="0" containsNumber="1" minValue="0" maxValue="7.10821696862791"/>
    </cacheField>
    <cacheField name="OverallMaximum" numFmtId="0">
      <sharedItems containsSemiMixedTypes="0" containsString="0" containsNumber="1" minValue="0" maxValue="84.630373665531195"/>
    </cacheField>
    <cacheField name="AverageNumberObservations" numFmtId="0">
      <sharedItems containsSemiMixedTypes="0" containsString="0" containsNumber="1" containsInteger="1" minValue="591" maxValue="599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12879166663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heckin agent.NumberSeized"/>
        <s v="Checkin agent.ScheduledUtilization"/>
        <s v="Passenger.NumberIn"/>
        <s v="Passenger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5262457095617104" maxValue="64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5262457095617104" maxValue="64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5262457095617104" maxValue="644"/>
    </cacheField>
    <cacheField name="Maximum" numFmtId="0">
      <sharedItems containsSemiMixedTypes="0" containsString="0" containsNumber="1" minValue="0.95262457095617104" maxValue="6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1287928240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04 14:42:22"/>
    <n v="1"/>
    <x v="0"/>
    <x v="0"/>
    <x v="0"/>
    <n v="0.95434015274287598"/>
    <n v="2E+20"/>
    <n v="0"/>
    <n v="1"/>
    <n v="1"/>
    <n v="0"/>
    <s v="Unnamed ProjectCheckin agentInstantaneous UtilizationResource"/>
    <n v="1"/>
    <n v="0.95434015274287598"/>
    <n v="0"/>
    <n v="0.95"/>
    <n v="4E+20"/>
    <n v="0.95434015274287598"/>
    <n v="0.95434015274287598"/>
    <n v="2E+20"/>
  </r>
  <r>
    <x v="0"/>
    <s v="2026-02-04 14:42:22"/>
    <n v="1"/>
    <x v="0"/>
    <x v="1"/>
    <x v="0"/>
    <n v="4.30984152307534"/>
    <n v="2E+20"/>
    <n v="0"/>
    <n v="5"/>
    <n v="5"/>
    <n v="0"/>
    <s v="Unnamed ProjectCheckin agentNumber BusyResource"/>
    <n v="1"/>
    <n v="4.30984152307534"/>
    <n v="0"/>
    <n v="0.95"/>
    <n v="4E+20"/>
    <n v="4.30984152307534"/>
    <n v="4.30984152307534"/>
    <n v="2E+20"/>
  </r>
  <r>
    <x v="0"/>
    <s v="2026-02-04 14:42:22"/>
    <n v="1"/>
    <x v="0"/>
    <x v="2"/>
    <x v="0"/>
    <n v="4.5241763171712597"/>
    <n v="2E+20"/>
    <n v="4"/>
    <n v="5"/>
    <n v="5"/>
    <n v="0"/>
    <s v="Unnamed ProjectCheckin agentNumber ScheduledResource"/>
    <n v="1"/>
    <n v="4.5241763171712597"/>
    <n v="0"/>
    <n v="0.95"/>
    <n v="4E+20"/>
    <n v="4.5241763171712597"/>
    <n v="4.5241763171712597"/>
    <n v="2E+20"/>
  </r>
  <r>
    <x v="0"/>
    <s v="2026-02-04 14:42:22"/>
    <n v="1"/>
    <x v="1"/>
    <x v="3"/>
    <x v="1"/>
    <n v="13.4814556933656"/>
    <n v="3E+20"/>
    <n v="0"/>
    <n v="53"/>
    <n v="45"/>
    <n v="0"/>
    <s v="Unnamed ProjectCheckin desk.QueueNumber WaitingQueue"/>
    <n v="1"/>
    <n v="13.4814556933656"/>
    <n v="0"/>
    <n v="0.95"/>
    <n v="4E+20"/>
    <n v="13.4814556933656"/>
    <n v="13.4814556933656"/>
    <n v="3E+20"/>
  </r>
  <r>
    <x v="0"/>
    <s v="2026-02-04 14:42:22"/>
    <n v="1"/>
    <x v="2"/>
    <x v="4"/>
    <x v="2"/>
    <n v="21.005736251364599"/>
    <n v="3E+20"/>
    <n v="0"/>
    <n v="62"/>
    <n v="53"/>
    <n v="0"/>
    <s v="Unnamed ProjectPassengerWIPEntity"/>
    <n v="1"/>
    <n v="21.005736251364599"/>
    <n v="0"/>
    <n v="0.95"/>
    <n v="4E+20"/>
    <n v="21.005736251364599"/>
    <n v="21.005736251364599"/>
    <n v="3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04 14:42:22"/>
    <n v="1"/>
    <x v="0"/>
    <x v="0"/>
    <x v="0"/>
    <n v="18.9451992182778"/>
    <n v="3E+20"/>
    <n v="0"/>
    <n v="71.728828078479495"/>
    <n v="599"/>
    <s v="Unnamed ProjectCheckin desk.QueueWaiting TimeQueue"/>
    <n v="1"/>
    <n v="18.9451992182778"/>
    <n v="0"/>
    <n v="0.95"/>
    <n v="4E+20"/>
    <n v="18.9451992182778"/>
    <n v="18.9451992182778"/>
    <n v="0"/>
    <n v="71.728828078479495"/>
    <n v="599"/>
    <n v="3E+20"/>
    <n v="1"/>
    <n v="1"/>
  </r>
  <r>
    <x v="0"/>
    <s v="2026-02-04 14:42:22"/>
    <n v="1"/>
    <x v="1"/>
    <x v="1"/>
    <x v="1"/>
    <n v="0"/>
    <n v="0"/>
    <n v="0"/>
    <n v="0"/>
    <n v="591"/>
    <s v="Unnamed ProjectPassengerNVA TimeEntity"/>
    <n v="1"/>
    <n v="0"/>
    <n v="0"/>
    <n v="0.95"/>
    <n v="4E+20"/>
    <n v="0"/>
    <n v="0"/>
    <n v="0"/>
    <n v="0"/>
    <n v="591"/>
    <n v="0"/>
    <n v="1"/>
    <n v="1"/>
  </r>
  <r>
    <x v="0"/>
    <s v="2026-02-04 14:42:22"/>
    <n v="1"/>
    <x v="1"/>
    <x v="2"/>
    <x v="1"/>
    <n v="0"/>
    <n v="0"/>
    <n v="0"/>
    <n v="0"/>
    <n v="591"/>
    <s v="Unnamed ProjectPassengerOther TimeEntity"/>
    <n v="1"/>
    <n v="0"/>
    <n v="0"/>
    <n v="0.95"/>
    <n v="4E+20"/>
    <n v="0"/>
    <n v="0"/>
    <n v="0"/>
    <n v="0"/>
    <n v="591"/>
    <n v="0"/>
    <n v="1"/>
    <n v="1"/>
  </r>
  <r>
    <x v="0"/>
    <s v="2026-02-04 14:42:22"/>
    <n v="1"/>
    <x v="1"/>
    <x v="3"/>
    <x v="1"/>
    <n v="30.168302306234601"/>
    <n v="3E+20"/>
    <n v="7.10821696862791"/>
    <n v="84.630373665531195"/>
    <n v="591"/>
    <s v="Unnamed ProjectPassengerTotal TimeEntity"/>
    <n v="1"/>
    <n v="30.168302306234601"/>
    <n v="0"/>
    <n v="0.95"/>
    <n v="4E+20"/>
    <n v="30.168302306234601"/>
    <n v="30.168302306234601"/>
    <n v="7.10821696862791"/>
    <n v="84.630373665531195"/>
    <n v="591"/>
    <n v="3E+20"/>
    <n v="1"/>
    <n v="1"/>
  </r>
  <r>
    <x v="0"/>
    <s v="2026-02-04 14:42:22"/>
    <n v="1"/>
    <x v="1"/>
    <x v="4"/>
    <x v="1"/>
    <n v="4.9887411413804603"/>
    <n v="3.0098809114494099E-2"/>
    <n v="4.06883974545344"/>
    <n v="5.9285551582155902"/>
    <n v="591"/>
    <s v="Unnamed ProjectPassengerTransfer TimeEntity"/>
    <n v="1"/>
    <n v="4.9887411413804603"/>
    <n v="0"/>
    <n v="0.95"/>
    <n v="4E+20"/>
    <n v="4.9887411413804603"/>
    <n v="4.9887411413804603"/>
    <n v="4.06883974545344"/>
    <n v="5.9285551582155902"/>
    <n v="591"/>
    <n v="3.0098809114494099E-2"/>
    <n v="1"/>
    <n v="1"/>
  </r>
  <r>
    <x v="0"/>
    <s v="2026-02-04 14:42:22"/>
    <n v="1"/>
    <x v="1"/>
    <x v="5"/>
    <x v="1"/>
    <n v="6.9289587174191603"/>
    <n v="0.136838221409601"/>
    <n v="2.2505032915546499"/>
    <n v="12.391287503032601"/>
    <n v="591"/>
    <s v="Unnamed ProjectPassengerVA TimeEntity"/>
    <n v="1"/>
    <n v="6.9289587174191603"/>
    <n v="0"/>
    <n v="0.95"/>
    <n v="4E+20"/>
    <n v="6.9289587174191603"/>
    <n v="6.9289587174191603"/>
    <n v="2.2505032915546499"/>
    <n v="12.391287503032601"/>
    <n v="591"/>
    <n v="0.136838221409601"/>
    <n v="1"/>
    <n v="1"/>
  </r>
  <r>
    <x v="0"/>
    <s v="2026-02-04 14:42:22"/>
    <n v="1"/>
    <x v="1"/>
    <x v="6"/>
    <x v="1"/>
    <n v="18.250602447435"/>
    <n v="3E+20"/>
    <n v="0"/>
    <n v="70.334762611026605"/>
    <n v="591"/>
    <s v="Unnamed ProjectPassengerWait TimeEntity"/>
    <n v="1"/>
    <n v="18.250602447435"/>
    <n v="0"/>
    <n v="0.95"/>
    <n v="4E+20"/>
    <n v="18.250602447435"/>
    <n v="18.250602447435"/>
    <n v="0"/>
    <n v="70.334762611026605"/>
    <n v="591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04 14:42:22"/>
    <n v="1"/>
    <x v="0"/>
    <x v="0"/>
    <x v="0"/>
    <n v="599"/>
    <n v="0"/>
    <s v="Unnamed ProjectCheckin agent.NumberSeizedTotal Number SeizedResource"/>
    <n v="1"/>
    <n v="599"/>
    <n v="0"/>
    <n v="0.95"/>
    <n v="4E+20"/>
    <n v="599"/>
    <n v="599"/>
  </r>
  <r>
    <x v="0"/>
    <s v="2026-02-04 14:42:22"/>
    <n v="1"/>
    <x v="1"/>
    <x v="1"/>
    <x v="0"/>
    <n v="0.95262457095617104"/>
    <n v="0"/>
    <s v="Unnamed ProjectCheckin agent.ScheduledUtilizationScheduled UtilizationResource"/>
    <n v="1"/>
    <n v="0.95262457095617104"/>
    <n v="0"/>
    <n v="0.95"/>
    <n v="4E+20"/>
    <n v="0.95262457095617104"/>
    <n v="0.95262457095617104"/>
  </r>
  <r>
    <x v="0"/>
    <s v="2026-02-04 14:42:22"/>
    <n v="1"/>
    <x v="2"/>
    <x v="2"/>
    <x v="1"/>
    <n v="644"/>
    <n v="0"/>
    <s v="Unnamed ProjectPassenger.NumberInNumber InEntity"/>
    <n v="1"/>
    <n v="644"/>
    <n v="0"/>
    <n v="0.95"/>
    <n v="4E+20"/>
    <n v="644"/>
    <n v="644"/>
  </r>
  <r>
    <x v="0"/>
    <s v="2026-02-04 14:42:22"/>
    <n v="1"/>
    <x v="3"/>
    <x v="3"/>
    <x v="1"/>
    <n v="591"/>
    <n v="0"/>
    <s v="Unnamed ProjectPassenger.NumberOutNumber OutEntity"/>
    <n v="1"/>
    <n v="591"/>
    <n v="0"/>
    <n v="0.95"/>
    <n v="4E+20"/>
    <n v="591"/>
    <n v="591"/>
  </r>
  <r>
    <x v="0"/>
    <s v="2026-02-04 14:42:22"/>
    <n v="1"/>
    <x v="4"/>
    <x v="3"/>
    <x v="2"/>
    <n v="591"/>
    <n v="0"/>
    <s v="Unnamed ProjectSystem.NumberOutNumber OutSystem"/>
    <n v="1"/>
    <n v="591"/>
    <n v="0"/>
    <n v="0.95"/>
    <n v="4E+20"/>
    <n v="591"/>
    <n v="59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9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9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1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960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18.9451992182778</v>
      </c>
      <c r="F3" s="5">
        <v>1</v>
      </c>
      <c r="G3" s="5">
        <v>3E+20</v>
      </c>
      <c r="H3" s="5">
        <v>0</v>
      </c>
      <c r="I3" s="5">
        <v>18.9451992182778</v>
      </c>
      <c r="J3" s="5">
        <v>18.9451992182778</v>
      </c>
      <c r="K3" s="5">
        <v>0</v>
      </c>
      <c r="L3" s="5">
        <v>71.728828078479495</v>
      </c>
      <c r="M3" s="5">
        <v>599</v>
      </c>
      <c r="O3" t="s">
        <v>67</v>
      </c>
      <c r="P3" t="s">
        <v>82</v>
      </c>
      <c r="Q3" t="s">
        <v>83</v>
      </c>
      <c r="R3" t="s">
        <v>84</v>
      </c>
      <c r="S3" s="5">
        <v>0.95434015274287598</v>
      </c>
      <c r="T3" s="5">
        <v>2E+20</v>
      </c>
      <c r="U3" s="5">
        <v>0</v>
      </c>
      <c r="V3" s="5">
        <v>0.95434015274287598</v>
      </c>
      <c r="W3" s="5">
        <v>0.95434015274287598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591</v>
      </c>
      <c r="AP3" s="5">
        <v>4E+20</v>
      </c>
      <c r="AQ3" s="5">
        <v>0</v>
      </c>
      <c r="AR3" s="5">
        <v>591</v>
      </c>
      <c r="AS3" s="5">
        <v>591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591</v>
      </c>
      <c r="Q4" t="s">
        <v>85</v>
      </c>
      <c r="R4" t="s">
        <v>84</v>
      </c>
      <c r="S4" s="5">
        <v>4.30984152307534</v>
      </c>
      <c r="T4" s="5">
        <v>2E+20</v>
      </c>
      <c r="U4" s="5">
        <v>0</v>
      </c>
      <c r="V4" s="5">
        <v>4.30984152307534</v>
      </c>
      <c r="W4" s="5">
        <v>4.30984152307534</v>
      </c>
      <c r="X4" s="5">
        <v>0</v>
      </c>
      <c r="Y4" s="5">
        <v>5</v>
      </c>
      <c r="AL4" t="s">
        <v>89</v>
      </c>
      <c r="AM4" t="s">
        <v>90</v>
      </c>
      <c r="AN4" t="s">
        <v>84</v>
      </c>
      <c r="AO4" s="5">
        <v>599</v>
      </c>
      <c r="AP4" s="5">
        <v>4E+20</v>
      </c>
      <c r="AQ4" s="5">
        <v>0</v>
      </c>
      <c r="AR4" s="5">
        <v>599</v>
      </c>
      <c r="AS4" s="5">
        <v>599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591</v>
      </c>
      <c r="Q5" t="s">
        <v>86</v>
      </c>
      <c r="R5" t="s">
        <v>84</v>
      </c>
      <c r="S5" s="5">
        <v>4.5241763171712597</v>
      </c>
      <c r="T5" s="5">
        <v>2E+20</v>
      </c>
      <c r="U5" s="5">
        <v>0</v>
      </c>
      <c r="V5" s="5">
        <v>4.5241763171712597</v>
      </c>
      <c r="W5" s="5">
        <v>4.5241763171712597</v>
      </c>
      <c r="X5" s="5">
        <v>4</v>
      </c>
      <c r="Y5" s="5">
        <v>5</v>
      </c>
      <c r="AL5" t="s">
        <v>91</v>
      </c>
      <c r="AM5" t="s">
        <v>92</v>
      </c>
      <c r="AN5" t="s">
        <v>84</v>
      </c>
      <c r="AO5" s="5">
        <v>0.95262457095617104</v>
      </c>
      <c r="AP5" s="5">
        <v>4E+20</v>
      </c>
      <c r="AQ5" s="5">
        <v>0</v>
      </c>
      <c r="AR5" s="5">
        <v>0.95262457095617104</v>
      </c>
      <c r="AS5" s="5">
        <v>0.95262457095617104</v>
      </c>
    </row>
    <row r="6" spans="1:52" x14ac:dyDescent="0.25">
      <c r="C6" t="s">
        <v>78</v>
      </c>
      <c r="D6" t="s">
        <v>76</v>
      </c>
      <c r="E6" s="5">
        <v>30.168302306234601</v>
      </c>
      <c r="F6" s="5">
        <v>1</v>
      </c>
      <c r="G6" s="5">
        <v>3E+20</v>
      </c>
      <c r="H6" s="5">
        <v>0</v>
      </c>
      <c r="I6" s="5">
        <v>30.168302306234601</v>
      </c>
      <c r="J6" s="5">
        <v>30.168302306234601</v>
      </c>
      <c r="K6" s="5">
        <v>7.10821696862791</v>
      </c>
      <c r="L6" s="5">
        <v>84.630373665531195</v>
      </c>
      <c r="M6" s="5">
        <v>591</v>
      </c>
      <c r="P6" t="s">
        <v>71</v>
      </c>
      <c r="Q6" t="s">
        <v>87</v>
      </c>
      <c r="R6" t="s">
        <v>73</v>
      </c>
      <c r="S6" s="5">
        <v>13.4814556933656</v>
      </c>
      <c r="T6" s="5">
        <v>3E+20</v>
      </c>
      <c r="U6" s="5">
        <v>0</v>
      </c>
      <c r="V6" s="5">
        <v>13.4814556933656</v>
      </c>
      <c r="W6" s="5">
        <v>13.4814556933656</v>
      </c>
      <c r="X6" s="5">
        <v>0</v>
      </c>
      <c r="Y6" s="5">
        <v>53</v>
      </c>
      <c r="AL6" t="s">
        <v>93</v>
      </c>
      <c r="AM6" t="s">
        <v>94</v>
      </c>
      <c r="AN6" t="s">
        <v>76</v>
      </c>
      <c r="AO6" s="5">
        <v>644</v>
      </c>
      <c r="AP6" s="5">
        <v>4E+20</v>
      </c>
      <c r="AQ6" s="5">
        <v>0</v>
      </c>
      <c r="AR6" s="5">
        <v>644</v>
      </c>
      <c r="AS6" s="5">
        <v>644</v>
      </c>
    </row>
    <row r="7" spans="1:52" x14ac:dyDescent="0.25">
      <c r="C7" t="s">
        <v>79</v>
      </c>
      <c r="D7" t="s">
        <v>76</v>
      </c>
      <c r="E7" s="5">
        <v>4.9887411413804603</v>
      </c>
      <c r="F7" s="5">
        <v>1</v>
      </c>
      <c r="G7" s="5">
        <v>3.0098809114494099E-2</v>
      </c>
      <c r="H7" s="5">
        <v>0</v>
      </c>
      <c r="I7" s="5">
        <v>4.9887411413804603</v>
      </c>
      <c r="J7" s="5">
        <v>4.9887411413804603</v>
      </c>
      <c r="K7" s="5">
        <v>4.06883974545344</v>
      </c>
      <c r="L7" s="5">
        <v>5.9285551582155902</v>
      </c>
      <c r="M7" s="5">
        <v>591</v>
      </c>
      <c r="P7" t="s">
        <v>74</v>
      </c>
      <c r="Q7" t="s">
        <v>88</v>
      </c>
      <c r="R7" t="s">
        <v>76</v>
      </c>
      <c r="S7" s="5">
        <v>21.005736251364599</v>
      </c>
      <c r="T7" s="5">
        <v>3E+20</v>
      </c>
      <c r="U7" s="5">
        <v>0</v>
      </c>
      <c r="V7" s="5">
        <v>21.005736251364599</v>
      </c>
      <c r="W7" s="5">
        <v>21.005736251364599</v>
      </c>
      <c r="X7" s="5">
        <v>0</v>
      </c>
      <c r="Y7" s="5">
        <v>62</v>
      </c>
      <c r="AL7" t="s">
        <v>95</v>
      </c>
      <c r="AM7" t="s">
        <v>96</v>
      </c>
      <c r="AN7" t="s">
        <v>76</v>
      </c>
      <c r="AO7" s="5">
        <v>591</v>
      </c>
      <c r="AP7" s="5">
        <v>4E+20</v>
      </c>
      <c r="AQ7" s="5">
        <v>0</v>
      </c>
      <c r="AR7" s="5">
        <v>591</v>
      </c>
      <c r="AS7" s="5">
        <v>591</v>
      </c>
    </row>
    <row r="8" spans="1:52" x14ac:dyDescent="0.25">
      <c r="C8" t="s">
        <v>80</v>
      </c>
      <c r="D8" t="s">
        <v>76</v>
      </c>
      <c r="E8" s="5">
        <v>6.9289587174191603</v>
      </c>
      <c r="F8" s="5">
        <v>1</v>
      </c>
      <c r="G8" s="5">
        <v>0.136838221409601</v>
      </c>
      <c r="H8" s="5">
        <v>0</v>
      </c>
      <c r="I8" s="5">
        <v>6.9289587174191603</v>
      </c>
      <c r="J8" s="5">
        <v>6.9289587174191603</v>
      </c>
      <c r="K8" s="5">
        <v>2.2505032915546499</v>
      </c>
      <c r="L8" s="5">
        <v>12.391287503032601</v>
      </c>
      <c r="M8" s="5">
        <v>591</v>
      </c>
    </row>
    <row r="9" spans="1:52" x14ac:dyDescent="0.25">
      <c r="C9" t="s">
        <v>81</v>
      </c>
      <c r="D9" t="s">
        <v>76</v>
      </c>
      <c r="E9" s="5">
        <v>18.250602447435</v>
      </c>
      <c r="F9" s="5">
        <v>1</v>
      </c>
      <c r="G9" s="5">
        <v>3E+20</v>
      </c>
      <c r="H9" s="5">
        <v>0</v>
      </c>
      <c r="I9" s="5">
        <v>18.250602447435</v>
      </c>
      <c r="J9" s="5">
        <v>18.250602447435</v>
      </c>
      <c r="K9" s="5">
        <v>0</v>
      </c>
      <c r="L9" s="5">
        <v>70.334762611026605</v>
      </c>
      <c r="M9" s="5">
        <v>591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18.9451992182778</v>
      </c>
      <c r="H2">
        <v>3E+20</v>
      </c>
      <c r="I2">
        <v>0</v>
      </c>
      <c r="J2">
        <v>71.728828078479495</v>
      </c>
      <c r="K2">
        <v>599</v>
      </c>
      <c r="L2" t="str">
        <f>DiscreteStatsTable[[#This Row],[ProjectName]]&amp;DiscreteStatsTable[[#This Row],[Name]]&amp;DiscreteStatsTable[[#This Row],[Type]]&amp;DiscreteStatsTable[[#This Row],[Source]]</f>
        <v>Unnamed ProjectCheckin desk.QueueWaiting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18.9451992182778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18.9451992182778</v>
      </c>
      <c r="S2" cm="1">
        <f t="array" ref="S2">MAX(IF((DiscreteStatsTable[GroupByKey]=DiscreteStatsTable[[#This Row],[GroupByKey]]),(DiscreteStatsTable[GroupByKey]=DiscreteStatsTable[[#This Row],[GroupByKey]])*DiscreteStatsTable[Average]))</f>
        <v>18.9451992182778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71.728828078479495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599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0</v>
      </c>
      <c r="I3">
        <v>0</v>
      </c>
      <c r="J3">
        <v>0</v>
      </c>
      <c r="K3">
        <v>591</v>
      </c>
      <c r="L3" t="str">
        <f>DiscreteStatsTable[[#This Row],[ProjectName]]&amp;DiscreteStatsTable[[#This Row],[Name]]&amp;DiscreteStatsTable[[#This Row],[Type]]&amp;DiscreteStatsTable[[#This Row],[Source]]</f>
        <v>Unnamed ProjectPassengerNVA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0</v>
      </c>
      <c r="I4">
        <v>0</v>
      </c>
      <c r="J4">
        <v>0</v>
      </c>
      <c r="K4">
        <v>591</v>
      </c>
      <c r="L4" t="str">
        <f>DiscreteStatsTable[[#This Row],[ProjectName]]&amp;DiscreteStatsTable[[#This Row],[Name]]&amp;DiscreteStatsTable[[#This Row],[Type]]&amp;DiscreteStatsTable[[#This Row],[Source]]</f>
        <v>Unnamed ProjectPassengerOther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591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30.168302306234601</v>
      </c>
      <c r="H5">
        <v>3E+20</v>
      </c>
      <c r="I5">
        <v>7.10821696862791</v>
      </c>
      <c r="J5">
        <v>84.630373665531195</v>
      </c>
      <c r="K5">
        <v>591</v>
      </c>
      <c r="L5" t="str">
        <f>DiscreteStatsTable[[#This Row],[ProjectName]]&amp;DiscreteStatsTable[[#This Row],[Name]]&amp;DiscreteStatsTable[[#This Row],[Type]]&amp;DiscreteStatsTable[[#This Row],[Source]]</f>
        <v>Unnamed ProjectPassengerTotal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30.168302306234601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30.168302306234601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30.168302306234601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7.10821696862791</v>
      </c>
      <c r="U5" cm="1">
        <f t="array" ref="U5">MAX(IF((DiscreteStatsTable[GroupByKey]=DiscreteStatsTable[[#This Row],[GroupByKey]]),(DiscreteStatsTable[GroupByKey]=DiscreteStatsTable[[#This Row],[GroupByKey]])*DiscreteStatsTable[Maximum]))</f>
        <v>84.630373665531195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591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4.9887411413804603</v>
      </c>
      <c r="H6">
        <v>3.0098809114494099E-2</v>
      </c>
      <c r="I6">
        <v>4.06883974545344</v>
      </c>
      <c r="J6">
        <v>5.9285551582155902</v>
      </c>
      <c r="K6">
        <v>591</v>
      </c>
      <c r="L6" t="str">
        <f>DiscreteStatsTable[[#This Row],[ProjectName]]&amp;DiscreteStatsTable[[#This Row],[Name]]&amp;DiscreteStatsTable[[#This Row],[Type]]&amp;DiscreteStatsTable[[#This Row],[Source]]</f>
        <v>Unnamed ProjectPassengerTransfer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4.9887411413804603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4.9887411413804603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4.9887411413804603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4.06883974545344</v>
      </c>
      <c r="U6" cm="1">
        <f t="array" ref="U6">MAX(IF((DiscreteStatsTable[GroupByKey]=DiscreteStatsTable[[#This Row],[GroupByKey]]),(DiscreteStatsTable[GroupByKey]=DiscreteStatsTable[[#This Row],[GroupByKey]])*DiscreteStatsTable[Maximum]))</f>
        <v>5.9285551582155902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591</v>
      </c>
      <c r="W6">
        <f>IF((DiscreteStatsTable[[#This Row],[RepsRequested]]&gt;1),DiscreteStatsTable[[#This Row],[HalfWidth]],DiscreteStatsTable[[#This Row],[BatchMeansHalfWidth]])</f>
        <v>3.0098809114494099E-2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6.9289587174191603</v>
      </c>
      <c r="H7">
        <v>0.136838221409601</v>
      </c>
      <c r="I7">
        <v>2.2505032915546499</v>
      </c>
      <c r="J7">
        <v>12.391287503032601</v>
      </c>
      <c r="K7">
        <v>591</v>
      </c>
      <c r="L7" t="str">
        <f>DiscreteStatsTable[[#This Row],[ProjectName]]&amp;DiscreteStatsTable[[#This Row],[Name]]&amp;DiscreteStatsTable[[#This Row],[Type]]&amp;DiscreteStatsTable[[#This Row],[Source]]</f>
        <v>Unnamed ProjectPassengerVA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6.9289587174191603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6.9289587174191603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6.9289587174191603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2.2505032915546499</v>
      </c>
      <c r="U7" cm="1">
        <f t="array" ref="U7">MAX(IF((DiscreteStatsTable[GroupByKey]=DiscreteStatsTable[[#This Row],[GroupByKey]]),(DiscreteStatsTable[GroupByKey]=DiscreteStatsTable[[#This Row],[GroupByKey]])*DiscreteStatsTable[Maximum]))</f>
        <v>12.391287503032601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591</v>
      </c>
      <c r="W7">
        <f>IF((DiscreteStatsTable[[#This Row],[RepsRequested]]&gt;1),DiscreteStatsTable[[#This Row],[HalfWidth]],DiscreteStatsTable[[#This Row],[BatchMeansHalfWidth]])</f>
        <v>0.136838221409601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18.250602447435</v>
      </c>
      <c r="H8">
        <v>3E+20</v>
      </c>
      <c r="I8">
        <v>0</v>
      </c>
      <c r="J8">
        <v>70.334762611026605</v>
      </c>
      <c r="K8">
        <v>591</v>
      </c>
      <c r="L8" t="str">
        <f>DiscreteStatsTable[[#This Row],[ProjectName]]&amp;DiscreteStatsTable[[#This Row],[Name]]&amp;DiscreteStatsTable[[#This Row],[Type]]&amp;DiscreteStatsTable[[#This Row],[Source]]</f>
        <v>Unnamed ProjectPassengerWait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18.250602447435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18.250602447435</v>
      </c>
      <c r="S8" cm="1">
        <f t="array" ref="S8">MAX(IF((DiscreteStatsTable[GroupByKey]=DiscreteStatsTable[[#This Row],[GroupByKey]]),(DiscreteStatsTable[GroupByKey]=DiscreteStatsTable[[#This Row],[GroupByKey]])*DiscreteStatsTable[Average]))</f>
        <v>18.250602447435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70.334762611026605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591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0.95434015274287598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ProjectCheckin agentInstantaneous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0.95434015274287598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0.95434015274287598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0.95434015274287598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4.30984152307534</v>
      </c>
      <c r="H3">
        <v>2E+20</v>
      </c>
      <c r="I3">
        <v>0</v>
      </c>
      <c r="J3">
        <v>5</v>
      </c>
      <c r="K3">
        <v>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ProjectCheckin agentNumber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4.30984152307534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4.30984152307534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4.30984152307534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4.5241763171712597</v>
      </c>
      <c r="H4">
        <v>2E+20</v>
      </c>
      <c r="I4">
        <v>4</v>
      </c>
      <c r="J4">
        <v>5</v>
      </c>
      <c r="K4">
        <v>5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ProjectCheckin agentNumber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4.5241763171712597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4.5241763171712597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4.5241763171712597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13.4814556933656</v>
      </c>
      <c r="H5">
        <v>3E+20</v>
      </c>
      <c r="I5">
        <v>0</v>
      </c>
      <c r="J5">
        <v>53</v>
      </c>
      <c r="K5">
        <v>45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ProjectCheckin desk.QueueNumber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13.4814556933656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13.4814556933656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13.4814556933656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21.005736251364599</v>
      </c>
      <c r="H6">
        <v>3E+20</v>
      </c>
      <c r="I6">
        <v>0</v>
      </c>
      <c r="J6">
        <v>62</v>
      </c>
      <c r="K6">
        <v>53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ProjectPassengerWIPEntity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21.005736251364599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21.005736251364599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21.005736251364599</v>
      </c>
      <c r="U6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7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599</v>
      </c>
      <c r="H2">
        <v>0</v>
      </c>
      <c r="I2" t="str">
        <f>OutputTable[[#This Row],[ProjectName]]&amp;OutputTable[[#This Row],[Name]]&amp;OutputTable[[#This Row],[Type]]&amp;OutputTable[[#This Row],[Source]]</f>
        <v>Unnamed ProjectCheckin agent.NumberSeizedTotal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599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599</v>
      </c>
      <c r="P2" cm="1">
        <f t="array" ref="P2">MAX(IF((OutputTable[GroupByKey]=OutputTable[[#This Row],[GroupByKey]]),(OutputTable[GroupByKey]=OutputTable[[#This Row],[GroupByKey]])*OutputTable[RecordedValue]))</f>
        <v>599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0.95262457095617104</v>
      </c>
      <c r="H3">
        <v>0</v>
      </c>
      <c r="I3" t="str">
        <f>OutputTable[[#This Row],[ProjectName]]&amp;OutputTable[[#This Row],[Name]]&amp;OutputTable[[#This Row],[Type]]&amp;OutputTable[[#This Row],[Source]]</f>
        <v>Unnamed ProjectCheckin agent.ScheduledUtilizationScheduled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0.95262457095617104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0.95262457095617104</v>
      </c>
      <c r="P3" cm="1">
        <f t="array" ref="P3">MAX(IF((OutputTable[GroupByKey]=OutputTable[[#This Row],[GroupByKey]]),(OutputTable[GroupByKey]=OutputTable[[#This Row],[GroupByKey]])*OutputTable[RecordedValue]))</f>
        <v>0.95262457095617104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644</v>
      </c>
      <c r="H4">
        <v>0</v>
      </c>
      <c r="I4" t="str">
        <f>OutputTable[[#This Row],[ProjectName]]&amp;OutputTable[[#This Row],[Name]]&amp;OutputTable[[#This Row],[Type]]&amp;OutputTable[[#This Row],[Source]]</f>
        <v>Unnamed ProjectPassenger.NumberInNumber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644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644</v>
      </c>
      <c r="P4" cm="1">
        <f t="array" ref="P4">MAX(IF((OutputTable[GroupByKey]=OutputTable[[#This Row],[GroupByKey]]),(OutputTable[GroupByKey]=OutputTable[[#This Row],[GroupByKey]])*OutputTable[RecordedValue]))</f>
        <v>644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591</v>
      </c>
      <c r="H5">
        <v>0</v>
      </c>
      <c r="I5" t="str">
        <f>OutputTable[[#This Row],[ProjectName]]&amp;OutputTable[[#This Row],[Name]]&amp;OutputTable[[#This Row],[Type]]&amp;OutputTable[[#This Row],[Source]]</f>
        <v>Unnamed ProjectPassenger.NumberOutNumber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591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591</v>
      </c>
      <c r="P5" cm="1">
        <f t="array" ref="P5">MAX(IF((OutputTable[GroupByKey]=OutputTable[[#This Row],[GroupByKey]]),(OutputTable[GroupByKey]=OutputTable[[#This Row],[GroupByKey]])*OutputTable[RecordedValue]))</f>
        <v>591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591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591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591</v>
      </c>
      <c r="P6" cm="1">
        <f t="array" ref="P6">MAX(IF((OutputTable[GroupByKey]=OutputTable[[#This Row],[GroupByKey]]),(OutputTable[GroupByKey]=OutputTable[[#This Row],[GroupByKey]])*OutputTable[RecordedValue]))</f>
        <v>591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2026-02-04T13:42:34Z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