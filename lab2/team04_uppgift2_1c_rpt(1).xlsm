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wnloads\lab2_data_files\"/>
    </mc:Choice>
  </mc:AlternateContent>
  <xr:revisionPtr revIDLastSave="0" documentId="13_ncr:1_{997C0F7F-738B-445F-931B-04369AA0A04A}" xr6:coauthVersionLast="47" xr6:coauthVersionMax="47" xr10:uidLastSave="{00000000-0000-0000-0000-000000000000}"/>
  <bookViews>
    <workbookView xWindow="-120" yWindow="-120" windowWidth="29040" windowHeight="175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DiscreteTimeStatsByRep!$A$1:$K$14</definedName>
    <definedName name="ExternalData_1" localSheetId="6" hidden="1">FrequencyStatsByRep!$A$1:$K$2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301" r:id="rId8"/>
    <pivotCache cacheId="308" r:id="rId9"/>
    <pivotCache cacheId="315" r:id="rId10"/>
    <pivotCache cacheId="322" r:id="rId11"/>
    <pivotCache cacheId="32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O9" i="20" s="1" a="1"/>
  <c r="O9" i="20" s="1"/>
  <c r="I10" i="20"/>
  <c r="O10" i="20" s="1" a="1"/>
  <c r="O10" i="20" s="1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M9" i="20" a="1"/>
  <c r="M9" i="20" s="1"/>
  <c r="M10" i="20" a="1"/>
  <c r="M10" i="20" s="1"/>
  <c r="M2" i="18"/>
  <c r="S2" i="18" s="1" a="1"/>
  <c r="S2" i="18" s="1"/>
  <c r="M3" i="18"/>
  <c r="M4" i="18"/>
  <c r="M5" i="18"/>
  <c r="M6" i="18"/>
  <c r="O6" i="18" s="1" a="1"/>
  <c r="O6" i="18" s="1"/>
  <c r="M7" i="18"/>
  <c r="M8" i="18"/>
  <c r="S8" i="18" s="1" a="1"/>
  <c r="S8" i="18" s="1"/>
  <c r="N2" i="18" a="1"/>
  <c r="N2" i="18"/>
  <c r="N3" i="18" a="1"/>
  <c r="N3" i="18"/>
  <c r="U3" i="18" s="1"/>
  <c r="N4" i="18" a="1"/>
  <c r="N4" i="18"/>
  <c r="U4" i="18" s="1"/>
  <c r="N5" i="18" a="1"/>
  <c r="N5" i="18"/>
  <c r="U5" i="18" s="1"/>
  <c r="N6" i="18" a="1"/>
  <c r="N6" i="18"/>
  <c r="U6" i="18" s="1"/>
  <c r="N7" i="18" a="1"/>
  <c r="N7" i="18"/>
  <c r="U7" i="18" s="1"/>
  <c r="N8" i="18" a="1"/>
  <c r="N8" i="18" s="1"/>
  <c r="P4" i="18" a="1"/>
  <c r="P4" i="18" s="1"/>
  <c r="P8" i="18" a="1"/>
  <c r="P8" i="18" s="1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 s="1"/>
  <c r="Q8" i="18" a="1"/>
  <c r="Q8" i="18" s="1"/>
  <c r="S4" i="18" a="1"/>
  <c r="S4" i="18"/>
  <c r="S5" i="18" a="1"/>
  <c r="S5" i="18" s="1"/>
  <c r="S6" i="18" a="1"/>
  <c r="S6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V12" i="17" s="1" a="1"/>
  <c r="V12" i="17" s="1"/>
  <c r="L14" i="17"/>
  <c r="S14" i="17" s="1" a="1"/>
  <c r="S14" i="17" s="1"/>
  <c r="M2" i="17" a="1"/>
  <c r="M2" i="17"/>
  <c r="W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W8" i="17" s="1"/>
  <c r="M9" i="17" a="1"/>
  <c r="M9" i="17" s="1"/>
  <c r="M10" i="17" a="1"/>
  <c r="M10" i="17" s="1"/>
  <c r="M11" i="17" a="1"/>
  <c r="M11" i="17"/>
  <c r="M12" i="17" a="1"/>
  <c r="M12" i="17" s="1"/>
  <c r="M13" i="17" a="1"/>
  <c r="M13" i="17" s="1"/>
  <c r="M14" i="17" a="1"/>
  <c r="M14" i="17"/>
  <c r="W14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/>
  <c r="P10" i="17" a="1"/>
  <c r="P10" i="17" s="1"/>
  <c r="P11" i="17" a="1"/>
  <c r="P11" i="17" s="1"/>
  <c r="P12" i="17" a="1"/>
  <c r="P12" i="17"/>
  <c r="P13" i="17" a="1"/>
  <c r="P13" i="17"/>
  <c r="P14" i="17" a="1"/>
  <c r="P14" i="17" s="1"/>
  <c r="G2" i="16"/>
  <c r="K9" i="20" l="1" a="1"/>
  <c r="K9" i="20" s="1"/>
  <c r="O7" i="20" a="1"/>
  <c r="O7" i="20" s="1"/>
  <c r="P10" i="20" a="1"/>
  <c r="P10" i="20" s="1"/>
  <c r="K10" i="20" a="1"/>
  <c r="K10" i="20" s="1"/>
  <c r="O8" i="20" a="1"/>
  <c r="O8" i="20" s="1"/>
  <c r="L2" i="20" a="1"/>
  <c r="L2" i="20" s="1"/>
  <c r="N2" i="20" s="1"/>
  <c r="L9" i="20" a="1"/>
  <c r="L9" i="20" s="1"/>
  <c r="N9" i="20" s="1"/>
  <c r="K8" i="20" a="1"/>
  <c r="K8" i="20" s="1"/>
  <c r="P7" i="20" a="1"/>
  <c r="P7" i="20" s="1"/>
  <c r="O6" i="20" a="1"/>
  <c r="O6" i="20" s="1"/>
  <c r="L8" i="20" a="1"/>
  <c r="L8" i="20" s="1"/>
  <c r="N8" i="20" s="1"/>
  <c r="K7" i="20" a="1"/>
  <c r="K7" i="20" s="1"/>
  <c r="P6" i="20" a="1"/>
  <c r="P6" i="20" s="1"/>
  <c r="O5" i="20" a="1"/>
  <c r="O5" i="20" s="1"/>
  <c r="L7" i="20" a="1"/>
  <c r="L7" i="20" s="1"/>
  <c r="N7" i="20" s="1"/>
  <c r="K6" i="20" a="1"/>
  <c r="K6" i="20" s="1"/>
  <c r="P5" i="20" a="1"/>
  <c r="P5" i="20" s="1"/>
  <c r="O4" i="20" a="1"/>
  <c r="O4" i="20" s="1"/>
  <c r="L6" i="20" a="1"/>
  <c r="L6" i="20" s="1"/>
  <c r="N6" i="20" s="1"/>
  <c r="K5" i="20" a="1"/>
  <c r="K5" i="20" s="1"/>
  <c r="P4" i="20" a="1"/>
  <c r="P4" i="20" s="1"/>
  <c r="O3" i="20" a="1"/>
  <c r="O3" i="20" s="1"/>
  <c r="L5" i="20" a="1"/>
  <c r="L5" i="20" s="1"/>
  <c r="N5" i="20" s="1"/>
  <c r="K4" i="20" a="1"/>
  <c r="K4" i="20" s="1"/>
  <c r="P3" i="20" a="1"/>
  <c r="P3" i="20" s="1"/>
  <c r="O2" i="20" a="1"/>
  <c r="O2" i="20" s="1"/>
  <c r="L4" i="20" a="1"/>
  <c r="L4" i="20" s="1"/>
  <c r="N4" i="20" s="1"/>
  <c r="K3" i="20" a="1"/>
  <c r="K3" i="20" s="1"/>
  <c r="P2" i="20" a="1"/>
  <c r="P2" i="20" s="1"/>
  <c r="L3" i="20" a="1"/>
  <c r="L3" i="20" s="1"/>
  <c r="N3" i="20" s="1"/>
  <c r="K2" i="20" a="1"/>
  <c r="K2" i="20" s="1"/>
  <c r="P9" i="20" a="1"/>
  <c r="P9" i="20" s="1"/>
  <c r="L10" i="20" a="1"/>
  <c r="L10" i="20" s="1"/>
  <c r="N10" i="20" s="1"/>
  <c r="P8" i="20" a="1"/>
  <c r="P8" i="20" s="1"/>
  <c r="P3" i="18" a="1"/>
  <c r="P3" i="18" s="1"/>
  <c r="O3" i="18" a="1"/>
  <c r="O3" i="18" s="1"/>
  <c r="P2" i="18" a="1"/>
  <c r="P2" i="18" s="1"/>
  <c r="R2" i="18" s="1"/>
  <c r="S7" i="18" a="1"/>
  <c r="S7" i="18" s="1"/>
  <c r="O4" i="18" a="1"/>
  <c r="O4" i="18" s="1"/>
  <c r="S3" i="18" a="1"/>
  <c r="S3" i="18" s="1"/>
  <c r="U2" i="18"/>
  <c r="O8" i="18" a="1"/>
  <c r="O8" i="18" s="1"/>
  <c r="O7" i="18" a="1"/>
  <c r="O7" i="18" s="1"/>
  <c r="T8" i="18" a="1"/>
  <c r="T8" i="18" s="1"/>
  <c r="O2" i="18" a="1"/>
  <c r="O2" i="18" s="1"/>
  <c r="R3" i="18"/>
  <c r="O5" i="18" a="1"/>
  <c r="O5" i="18" s="1"/>
  <c r="R8" i="18"/>
  <c r="U8" i="18"/>
  <c r="R4" i="18"/>
  <c r="P7" i="18" a="1"/>
  <c r="P7" i="18" s="1"/>
  <c r="R7" i="18" s="1"/>
  <c r="T2" i="18" a="1"/>
  <c r="T2" i="18" s="1"/>
  <c r="P6" i="18" a="1"/>
  <c r="P6" i="18" s="1"/>
  <c r="R6" i="18" s="1"/>
  <c r="P5" i="18" a="1"/>
  <c r="P5" i="18" s="1"/>
  <c r="R5" i="18" s="1"/>
  <c r="V4" i="17" a="1"/>
  <c r="V4" i="17" s="1"/>
  <c r="V14" i="17" a="1"/>
  <c r="V14" i="17" s="1"/>
  <c r="V13" i="17" a="1"/>
  <c r="V13" i="17" s="1"/>
  <c r="R14" i="17" a="1"/>
  <c r="R14" i="17" s="1"/>
  <c r="O6" i="17" a="1"/>
  <c r="O6" i="17" s="1"/>
  <c r="S11" i="17" a="1"/>
  <c r="S11" i="17" s="1"/>
  <c r="N9" i="17" a="1"/>
  <c r="N9" i="17" s="1"/>
  <c r="T10" i="17" a="1"/>
  <c r="T10" i="17" s="1"/>
  <c r="T7" i="17" a="1"/>
  <c r="T7" i="17" s="1"/>
  <c r="X2" i="17" a="1"/>
  <c r="X2" i="17" s="1"/>
  <c r="Y2" i="17" s="1"/>
  <c r="R4" i="17" a="1"/>
  <c r="R4" i="17" s="1"/>
  <c r="V2" i="17" a="1"/>
  <c r="V2" i="17" s="1"/>
  <c r="X4" i="17" a="1"/>
  <c r="X4" i="17" s="1"/>
  <c r="Y4" i="17" s="1"/>
  <c r="X3" i="17" a="1"/>
  <c r="X3" i="17" s="1"/>
  <c r="Y3" i="17" s="1"/>
  <c r="V11" i="17" a="1"/>
  <c r="V11" i="17" s="1"/>
  <c r="S13" i="17" a="1"/>
  <c r="S13" i="17" s="1"/>
  <c r="S3" i="17" a="1"/>
  <c r="S3" i="17" s="1"/>
  <c r="R7" i="17" a="1"/>
  <c r="R7" i="17" s="1"/>
  <c r="U8" i="17" a="1"/>
  <c r="U8" i="17" s="1"/>
  <c r="O12" i="17" a="1"/>
  <c r="O12" i="17" s="1"/>
  <c r="T4" i="17" a="1"/>
  <c r="T4" i="17" s="1"/>
  <c r="X13" i="17" a="1"/>
  <c r="X13" i="17" s="1"/>
  <c r="Y13" i="17" s="1"/>
  <c r="S4" i="17" a="1"/>
  <c r="S4" i="17" s="1"/>
  <c r="X12" i="17" a="1"/>
  <c r="X12" i="17" s="1"/>
  <c r="Y12" i="17" s="1"/>
  <c r="X5" i="17" a="1"/>
  <c r="X5" i="17" s="1"/>
  <c r="Y5" i="17" s="1"/>
  <c r="V3" i="17" a="1"/>
  <c r="V3" i="17" s="1"/>
  <c r="X14" i="17" a="1"/>
  <c r="X14" i="17" s="1"/>
  <c r="Y14" i="17" s="1"/>
  <c r="U14" i="17" a="1"/>
  <c r="U14" i="17" s="1"/>
  <c r="U7" i="17" a="1"/>
  <c r="U7" i="17" s="1"/>
  <c r="U5" i="17" a="1"/>
  <c r="U5" i="17" s="1"/>
  <c r="U4" i="17" a="1"/>
  <c r="U4" i="17" s="1"/>
  <c r="R12" i="17" a="1"/>
  <c r="R12" i="17" s="1"/>
  <c r="T11" i="17" a="1"/>
  <c r="T11" i="17" s="1"/>
  <c r="T8" i="17" a="1"/>
  <c r="T8" i="17" s="1"/>
  <c r="W7" i="17"/>
  <c r="W6" i="17"/>
  <c r="W4" i="17"/>
  <c r="W5" i="17"/>
  <c r="W3" i="17"/>
  <c r="W9" i="17"/>
  <c r="W13" i="17"/>
  <c r="O9" i="17" a="1"/>
  <c r="O9" i="17" s="1"/>
  <c r="N12" i="17" a="1"/>
  <c r="N12" i="17" s="1"/>
  <c r="N2" i="17" a="1"/>
  <c r="N2" i="17" s="1"/>
  <c r="R6" i="17" a="1"/>
  <c r="R6" i="17" s="1"/>
  <c r="O8" i="17" a="1"/>
  <c r="O8" i="17" s="1"/>
  <c r="N11" i="17" a="1"/>
  <c r="N11" i="17" s="1"/>
  <c r="U6" i="17" a="1"/>
  <c r="U6" i="17" s="1"/>
  <c r="T9" i="17" a="1"/>
  <c r="T9" i="17" s="1"/>
  <c r="S12" i="17" a="1"/>
  <c r="S12" i="17" s="1"/>
  <c r="S2" i="17" a="1"/>
  <c r="S2" i="17" s="1"/>
  <c r="R5" i="17" a="1"/>
  <c r="R5" i="17" s="1"/>
  <c r="O7" i="17" a="1"/>
  <c r="O7" i="17" s="1"/>
  <c r="N10" i="17" a="1"/>
  <c r="N10" i="17" s="1"/>
  <c r="O5" i="17" a="1"/>
  <c r="O5" i="17" s="1"/>
  <c r="T5" i="17" a="1"/>
  <c r="T5" i="17" s="1"/>
  <c r="S8" i="17" a="1"/>
  <c r="S8" i="17" s="1"/>
  <c r="R11" i="17" a="1"/>
  <c r="R11" i="17" s="1"/>
  <c r="X11" i="17" a="1"/>
  <c r="X11" i="17" s="1"/>
  <c r="Y11" i="17" s="1"/>
  <c r="Q11" i="17" s="1"/>
  <c r="W12" i="17"/>
  <c r="R2" i="17" a="1"/>
  <c r="R2" i="17" s="1"/>
  <c r="W11" i="17"/>
  <c r="O14" i="17" a="1"/>
  <c r="O14" i="17" s="1"/>
  <c r="X9" i="17" a="1"/>
  <c r="X9" i="17" s="1"/>
  <c r="Y9" i="17" s="1"/>
  <c r="Q9" i="17" s="1"/>
  <c r="O13" i="17" a="1"/>
  <c r="O13" i="17" s="1"/>
  <c r="N5" i="17" a="1"/>
  <c r="N5" i="17" s="1"/>
  <c r="N8" i="17" a="1"/>
  <c r="N8" i="17" s="1"/>
  <c r="S9" i="17" a="1"/>
  <c r="S9" i="17" s="1"/>
  <c r="N6" i="17" a="1"/>
  <c r="N6" i="17" s="1"/>
  <c r="R10" i="17" a="1"/>
  <c r="R10" i="17" s="1"/>
  <c r="V7" i="17" a="1"/>
  <c r="V7" i="17" s="1"/>
  <c r="U10" i="17" a="1"/>
  <c r="U10" i="17" s="1"/>
  <c r="T13" i="17" a="1"/>
  <c r="T13" i="17" s="1"/>
  <c r="T3" i="17" a="1"/>
  <c r="T3" i="17" s="1"/>
  <c r="S6" i="17" a="1"/>
  <c r="S6" i="17" s="1"/>
  <c r="R9" i="17" a="1"/>
  <c r="R9" i="17" s="1"/>
  <c r="R13" i="17" a="1"/>
  <c r="R13" i="17" s="1"/>
  <c r="U3" i="17" a="1"/>
  <c r="U3" i="17" s="1"/>
  <c r="O4" i="17" a="1"/>
  <c r="O4" i="17" s="1"/>
  <c r="O3" i="17" a="1"/>
  <c r="O3" i="17" s="1"/>
  <c r="O2" i="17" a="1"/>
  <c r="O2" i="17" s="1"/>
  <c r="X7" i="17" a="1"/>
  <c r="X7" i="17" s="1"/>
  <c r="Y7" i="17" s="1"/>
  <c r="O11" i="17" a="1"/>
  <c r="O11" i="17" s="1"/>
  <c r="N14" i="17" a="1"/>
  <c r="N14" i="17" s="1"/>
  <c r="N4" i="17" a="1"/>
  <c r="N4" i="17" s="1"/>
  <c r="S10" i="17" a="1"/>
  <c r="S10" i="17" s="1"/>
  <c r="T6" i="17" a="1"/>
  <c r="T6" i="17" s="1"/>
  <c r="N7" i="17" a="1"/>
  <c r="N7" i="17" s="1"/>
  <c r="W10" i="17"/>
  <c r="U12" i="17" a="1"/>
  <c r="U12" i="17" s="1"/>
  <c r="V8" i="17" a="1"/>
  <c r="V8" i="17" s="1"/>
  <c r="U11" i="17" a="1"/>
  <c r="U11" i="17" s="1"/>
  <c r="T14" i="17" a="1"/>
  <c r="T14" i="17" s="1"/>
  <c r="V6" i="17" a="1"/>
  <c r="V6" i="17" s="1"/>
  <c r="U9" i="17" a="1"/>
  <c r="U9" i="17" s="1"/>
  <c r="T12" i="17" a="1"/>
  <c r="T12" i="17" s="1"/>
  <c r="T2" i="17" a="1"/>
  <c r="T2" i="17" s="1"/>
  <c r="S5" i="17" a="1"/>
  <c r="S5" i="17" s="1"/>
  <c r="R8" i="17" a="1"/>
  <c r="R8" i="17" s="1"/>
  <c r="V10" i="17" a="1"/>
  <c r="V10" i="17" s="1"/>
  <c r="U13" i="17" a="1"/>
  <c r="U13" i="17" s="1"/>
  <c r="X10" i="17" a="1"/>
  <c r="X10" i="17" s="1"/>
  <c r="Y10" i="17" s="1"/>
  <c r="Q10" i="17" s="1"/>
  <c r="V9" i="17" a="1"/>
  <c r="V9" i="17" s="1"/>
  <c r="S7" i="17" a="1"/>
  <c r="S7" i="17" s="1"/>
  <c r="X6" i="17" a="1"/>
  <c r="X6" i="17" s="1"/>
  <c r="Y6" i="17" s="1"/>
  <c r="Q6" i="17" s="1"/>
  <c r="O10" i="17" a="1"/>
  <c r="O10" i="17" s="1"/>
  <c r="N13" i="17" a="1"/>
  <c r="N13" i="17" s="1"/>
  <c r="N3" i="17" a="1"/>
  <c r="N3" i="17" s="1"/>
  <c r="R3" i="17" a="1"/>
  <c r="R3" i="17" s="1"/>
  <c r="U2" i="17" a="1"/>
  <c r="U2" i="17" s="1"/>
  <c r="X8" i="17" a="1"/>
  <c r="X8" i="17" s="1"/>
  <c r="Y8" i="17" s="1"/>
  <c r="Q8" i="17" s="1"/>
  <c r="V5" i="17" a="1"/>
  <c r="V5" i="17" s="1"/>
  <c r="Q2" i="17" l="1"/>
  <c r="Q13" i="17"/>
  <c r="Q7" i="17"/>
  <c r="Q12" i="17"/>
  <c r="Q14" i="17"/>
  <c r="Q3" i="17"/>
  <c r="Q4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wnloads\lab2_data_files\team04_uppgift2_1c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<sst xmlns="http://schemas.openxmlformats.org/spreadsheetml/2006/main" count="388" uniqueCount="105">
  <si>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</si>
  <si>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</si>
  <si>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</si>
  <si>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</si>
  <si>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</si>
  <si>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</si>
  <si>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</si>
  <si>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</si>
  <si>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</si>
  <si>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</si>
  <si>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</si>
  <si>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</si>
  <si>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</si>
  <si>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</si>
  <si>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</si>
  <si>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</si>
  <si>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</si>
  <si>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</si>
  <si>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</si>
  <si>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</si>
  <si>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</si>
  <si>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</si>
  <si>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</si>
  <si>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</si>
  <si>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</si>
  <si>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</si>
  <si>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</si>
  <si>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</si>
  <si>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</si>
  <si>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</si>
  <si>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</si>
  <si>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</si>
  <si>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</si>
  <si>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</si>
  <si>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</si>
  <si>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</si>
  <si>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</si>
  <si>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</si>
  <si>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</si>
  <si>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</si>
  <si>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</si>
  <si>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</si>
  <si>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</si>
  <si>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</si>
  <si>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</si>
  <si>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</si>
  <si>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</si>
  <si>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</si>
  <si>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</si>
  <si>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</si>
  <si>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</si>
  <si>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</si>
  <si>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</si>
  <si>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</si>
  <si>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</si>
  <si>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</si>
  <si>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</si>
  <si>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</si>
  <si>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</si>
  <si>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</si>
  <si>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</si>
  <si>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</si>
  <si>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</si>
  <si>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</si>
  <si>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</si>
  <si>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</si>
  <si>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</si>
  <si>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</si>
  <si>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</si>
  <si>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\\filur03.it.liu.se\students\basad559\Downloads\lab2_data_files\team04_uppgift2_1c.p</t>
  </si>
  <si>
    <t>2026-02-04 15:37:34</t>
  </si>
  <si>
    <t>Checkin desk.Queue</t>
  </si>
  <si>
    <t>Waiting Time</t>
  </si>
  <si>
    <t>Queue</t>
  </si>
  <si>
    <t>Type 1 Passenger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</si>
  <si>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</si>
  <si>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</si>
  <si>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</si>
  <si>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</si>
  <si>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</si>
  <si>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</si>
  <si>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</si>
  <si>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Type 2 Passenger</t>
  </si>
  <si>
    <t>Checkin agent</t>
  </si>
  <si>
    <t>Instantaneous Utilization</t>
  </si>
  <si>
    <t>Resource</t>
  </si>
  <si>
    <t>Number Busy</t>
  </si>
  <si>
    <t>Number Scheduled</t>
  </si>
  <si>
    <t>Number Waiting</t>
  </si>
  <si>
    <t>Passenger</t>
  </si>
  <si>
    <t>WIP</t>
  </si>
  <si>
    <t>Checkin agent.NumberSeized</t>
  </si>
  <si>
    <t>Total Number Seized</t>
  </si>
  <si>
    <t>Checkin agent.ScheduledUtilization</t>
  </si>
  <si>
    <t>Scheduled Utilization</t>
  </si>
  <si>
    <t>Passenger.NumberIn</t>
  </si>
  <si>
    <t>Number In</t>
  </si>
  <si>
    <t>Passenger.NumberOut</t>
  </si>
  <si>
    <t>Number Out</t>
  </si>
  <si>
    <t>System.NumberOut</t>
  </si>
  <si>
    <t>System</t>
  </si>
  <si>
    <t>Type 1 Passenger.NumberIn</t>
  </si>
  <si>
    <t>Type 1 Passenger.NumberOut</t>
  </si>
  <si>
    <t>Type 2 Passenger.NumberIn</t>
  </si>
  <si>
    <t>Type 2 Passenger.NumberOut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</si>
</sst>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5133842592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51338541669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Checkin agent"/>
        <s v="Checkin desk.Queue"/>
        <s v="Passenger"/>
        <s v="Type 1 Passenger"/>
        <s v="Type 2 Passeng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2.941055414091998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0" maxValue="81"/>
    </cacheField>
    <cacheField name="LastRecordedValue" numFmtId="0">
      <sharedItems containsSemiMixedTypes="0" containsString="0" containsNumber="1" containsInteger="1" minValue="0" maxValue="8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2.9410554140919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2.941055414091998"/>
    </cacheField>
    <cacheField name="MaximumAverage" numFmtId="0">
      <sharedItems containsSemiMixedTypes="0" containsString="0" containsNumber="1" minValue="0" maxValue="32.941055414091998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5133888889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51339004631" createdVersion="7" refreshedVersion="8" minRefreshableVersion="3" recordCount="13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heckin desk.Queue"/>
        <s v="Type 1 Passenger"/>
        <s v="Type 2 Passeng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7.686272810744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3.1625422946468"/>
    </cacheField>
    <cacheField name="Maximum" numFmtId="0">
      <sharedItems containsSemiMixedTypes="0" containsString="0" containsNumber="1" minValue="0" maxValue="127.060831802498"/>
    </cacheField>
    <cacheField name="NumberObservations" numFmtId="0">
      <sharedItems containsSemiMixedTypes="0" containsString="0" containsNumber="1" containsInteger="1" minValue="203" maxValue="53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67.686272810744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67.6862728107442"/>
    </cacheField>
    <cacheField name="MaximumAverage" numFmtId="0">
      <sharedItems containsSemiMixedTypes="0" containsString="0" containsNumber="1" minValue="0" maxValue="67.6862728107442"/>
    </cacheField>
    <cacheField name="OverallMinimum" numFmtId="0">
      <sharedItems containsSemiMixedTypes="0" containsString="0" containsNumber="1" minValue="0" maxValue="13.1625422946468"/>
    </cacheField>
    <cacheField name="OverallMaximum" numFmtId="0">
      <sharedItems containsSemiMixedTypes="0" containsString="0" containsNumber="1" minValue="0" maxValue="127.060831802498"/>
    </cacheField>
    <cacheField name="AverageNumberObservations" numFmtId="0">
      <sharedItems containsSemiMixedTypes="0" containsString="0" containsNumber="1" containsInteger="1" minValue="203" maxValue="530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51339236108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Checkin agent.NumberSeized"/>
        <s v="Checkin agent.ScheduledUtilization"/>
        <s v="Passenger.NumberIn"/>
        <s v="Passenger.NumberOut"/>
        <s v="System.NumberOut"/>
        <s v="Type 1 Passenger.NumberIn"/>
        <s v="Type 1 Passenger.NumberOut"/>
        <s v="Type 2 Passenger.NumberIn"/>
        <s v="Type 2 Passenger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53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53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530"/>
    </cacheField>
    <cacheField name="Maximum" numFmtId="0">
      <sharedItems containsSemiMixedTypes="0" containsString="0" containsNumber="1" minValue="0" maxValue="5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04 15:37:34"/>
    <n v="1"/>
    <x v="0"/>
    <x v="0"/>
    <x v="0"/>
    <n v="0.97027132027285401"/>
    <n v="2E+20"/>
    <n v="0"/>
    <n v="1"/>
    <n v="1"/>
    <n v="0"/>
    <s v="Unnamed ProjectCheckin agentInstantaneous UtilizationResource"/>
    <n v="1"/>
    <n v="0.97027132027285401"/>
    <n v="0"/>
    <n v="0.95"/>
    <n v="4E+20"/>
    <n v="0.97027132027285401"/>
    <n v="0.97027132027285401"/>
    <n v="2E+20"/>
  </r>
  <r>
    <x v="0"/>
    <s v="2026-02-04 15:37:34"/>
    <n v="1"/>
    <x v="0"/>
    <x v="1"/>
    <x v="0"/>
    <n v="4.3838162048392801"/>
    <n v="2E+20"/>
    <n v="0"/>
    <n v="5"/>
    <n v="5"/>
    <n v="0"/>
    <s v="Unnamed ProjectCheckin agentNumber BusyResource"/>
    <n v="1"/>
    <n v="4.3838162048392801"/>
    <n v="0"/>
    <n v="0.95"/>
    <n v="4E+20"/>
    <n v="4.3838162048392801"/>
    <n v="4.3838162048392801"/>
    <n v="2E+20"/>
  </r>
  <r>
    <x v="0"/>
    <s v="2026-02-04 15:37:34"/>
    <n v="1"/>
    <x v="0"/>
    <x v="2"/>
    <x v="0"/>
    <n v="4.5302588666833596"/>
    <n v="2E+20"/>
    <n v="4"/>
    <n v="5"/>
    <n v="5"/>
    <n v="0"/>
    <s v="Unnamed ProjectCheckin agentNumber ScheduledResource"/>
    <n v="1"/>
    <n v="4.5302588666833596"/>
    <n v="0"/>
    <n v="0.95"/>
    <n v="4E+20"/>
    <n v="4.5302588666833596"/>
    <n v="4.5302588666833596"/>
    <n v="2E+20"/>
  </r>
  <r>
    <x v="0"/>
    <s v="2026-02-04 15:37:34"/>
    <n v="1"/>
    <x v="1"/>
    <x v="3"/>
    <x v="1"/>
    <n v="32.941055414091998"/>
    <n v="3E+20"/>
    <n v="0"/>
    <n v="81"/>
    <n v="80"/>
    <n v="0"/>
    <s v="Unnamed ProjectCheckin desk.QueueNumber WaitingQueue"/>
    <n v="1"/>
    <n v="32.941055414091998"/>
    <n v="0"/>
    <n v="0.95"/>
    <n v="4E+20"/>
    <n v="32.941055414091998"/>
    <n v="32.941055414091998"/>
    <n v="3E+20"/>
  </r>
  <r>
    <x v="0"/>
    <s v="2026-02-04 15:37:34"/>
    <n v="1"/>
    <x v="2"/>
    <x v="4"/>
    <x v="2"/>
    <n v="0"/>
    <n v="2E+20"/>
    <n v="0"/>
    <n v="0"/>
    <n v="0"/>
    <n v="0"/>
    <s v="Unnamed ProjectPassengerWIPEntity"/>
    <n v="1"/>
    <n v="0"/>
    <n v="0"/>
    <n v="0.95"/>
    <n v="4E+20"/>
    <n v="0"/>
    <n v="0"/>
    <n v="2E+20"/>
  </r>
  <r>
    <x v="0"/>
    <s v="2026-02-04 15:37:34"/>
    <n v="1"/>
    <x v="3"/>
    <x v="4"/>
    <x v="2"/>
    <n v="24.018936904140201"/>
    <n v="3E+20"/>
    <n v="0"/>
    <n v="57"/>
    <n v="54"/>
    <n v="0"/>
    <s v="Unnamed ProjectType 1 PassengerWIPEntity"/>
    <n v="1"/>
    <n v="24.018936904140201"/>
    <n v="0"/>
    <n v="0.95"/>
    <n v="4E+20"/>
    <n v="24.018936904140201"/>
    <n v="24.018936904140201"/>
    <n v="3E+20"/>
  </r>
  <r>
    <x v="0"/>
    <s v="2026-02-04 15:37:34"/>
    <n v="1"/>
    <x v="4"/>
    <x v="4"/>
    <x v="2"/>
    <n v="16.239118302624099"/>
    <n v="3E+20"/>
    <n v="0"/>
    <n v="35"/>
    <n v="35"/>
    <n v="0"/>
    <s v="Unnamed ProjectType 2 PassengerWIPEntity"/>
    <n v="1"/>
    <n v="16.239118302624099"/>
    <n v="0"/>
    <n v="0.95"/>
    <n v="4E+20"/>
    <n v="16.239118302624099"/>
    <n v="16.239118302624099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6-02-04 15:37:34"/>
    <n v="1"/>
    <x v="0"/>
    <x v="0"/>
    <x v="0"/>
    <n v="51.421683317255599"/>
    <n v="3E+20"/>
    <n v="0"/>
    <n v="111.788785009987"/>
    <n v="530"/>
    <s v="Unnamed ProjectCheckin desk.QueueWaiting TimeQueue"/>
    <n v="1"/>
    <n v="51.421683317255599"/>
    <n v="0"/>
    <n v="0.95"/>
    <n v="4E+20"/>
    <n v="51.421683317255599"/>
    <n v="51.421683317255599"/>
    <n v="0"/>
    <n v="111.788785009987"/>
    <n v="530"/>
    <n v="3E+20"/>
    <n v="1"/>
    <n v="1"/>
  </r>
  <r>
    <x v="0"/>
    <s v="2026-02-04 15:37:34"/>
    <n v="1"/>
    <x v="1"/>
    <x v="1"/>
    <x v="1"/>
    <n v="0"/>
    <n v="0"/>
    <n v="0"/>
    <n v="0"/>
    <n v="321"/>
    <s v="Unnamed ProjectType 1 PassengerNVA TimeEntity"/>
    <n v="1"/>
    <n v="0"/>
    <n v="0"/>
    <n v="0.95"/>
    <n v="4E+20"/>
    <n v="0"/>
    <n v="0"/>
    <n v="0"/>
    <n v="0"/>
    <n v="321"/>
    <n v="0"/>
    <n v="1"/>
    <n v="1"/>
  </r>
  <r>
    <x v="0"/>
    <s v="2026-02-04 15:37:34"/>
    <n v="1"/>
    <x v="1"/>
    <x v="2"/>
    <x v="1"/>
    <n v="0"/>
    <n v="0"/>
    <n v="0"/>
    <n v="0"/>
    <n v="321"/>
    <s v="Unnamed ProjectType 1 PassengerOther TimeEntity"/>
    <n v="1"/>
    <n v="0"/>
    <n v="0"/>
    <n v="0.95"/>
    <n v="4E+20"/>
    <n v="0"/>
    <n v="0"/>
    <n v="0"/>
    <n v="0"/>
    <n v="321"/>
    <n v="0"/>
    <n v="1"/>
    <n v="1"/>
  </r>
  <r>
    <x v="0"/>
    <s v="2026-02-04 15:37:34"/>
    <n v="1"/>
    <x v="1"/>
    <x v="3"/>
    <x v="1"/>
    <n v="61.249583785688102"/>
    <n v="3E+20"/>
    <n v="8.9367709971946105"/>
    <n v="125.899856560586"/>
    <n v="321"/>
    <s v="Unnamed ProjectType 1 PassengerTotal TimeEntity"/>
    <n v="1"/>
    <n v="61.249583785688102"/>
    <n v="0"/>
    <n v="0.95"/>
    <n v="4E+20"/>
    <n v="61.249583785688102"/>
    <n v="61.249583785688102"/>
    <n v="8.9367709971946105"/>
    <n v="125.899856560586"/>
    <n v="321"/>
    <n v="3E+20"/>
    <n v="1"/>
    <n v="1"/>
  </r>
  <r>
    <x v="0"/>
    <s v="2026-02-04 15:37:34"/>
    <n v="1"/>
    <x v="1"/>
    <x v="4"/>
    <x v="1"/>
    <n v="4.9748537951254699"/>
    <n v="5.5990266494999899E-2"/>
    <n v="4.04180125769608"/>
    <n v="5.9316706505416104"/>
    <n v="321"/>
    <s v="Unnamed ProjectType 1 PassengerTransfer TimeEntity"/>
    <n v="1"/>
    <n v="4.9748537951254699"/>
    <n v="0"/>
    <n v="0.95"/>
    <n v="4E+20"/>
    <n v="4.9748537951254699"/>
    <n v="4.9748537951254699"/>
    <n v="4.04180125769608"/>
    <n v="5.9316706505416104"/>
    <n v="321"/>
    <n v="5.5990266494999899E-2"/>
    <n v="1"/>
    <n v="1"/>
  </r>
  <r>
    <x v="0"/>
    <s v="2026-02-04 15:37:34"/>
    <n v="1"/>
    <x v="1"/>
    <x v="5"/>
    <x v="1"/>
    <n v="5.99430586958003"/>
    <n v="0.15357901244368399"/>
    <n v="3.2009247017675801"/>
    <n v="10.896394293808701"/>
    <n v="321"/>
    <s v="Unnamed ProjectType 1 PassengerVA TimeEntity"/>
    <n v="1"/>
    <n v="5.99430586958003"/>
    <n v="0"/>
    <n v="0.95"/>
    <n v="4E+20"/>
    <n v="5.99430586958003"/>
    <n v="5.99430586958003"/>
    <n v="3.2009247017675801"/>
    <n v="10.896394293808701"/>
    <n v="321"/>
    <n v="0.15357901244368399"/>
    <n v="1"/>
    <n v="1"/>
  </r>
  <r>
    <x v="0"/>
    <s v="2026-02-04 15:37:34"/>
    <n v="1"/>
    <x v="1"/>
    <x v="6"/>
    <x v="1"/>
    <n v="50.280424120982602"/>
    <n v="3E+20"/>
    <n v="0"/>
    <n v="111.788785009987"/>
    <n v="321"/>
    <s v="Unnamed ProjectType 1 PassengerWait TimeEntity"/>
    <n v="1"/>
    <n v="50.280424120982602"/>
    <n v="0"/>
    <n v="0.95"/>
    <n v="4E+20"/>
    <n v="50.280424120982602"/>
    <n v="50.280424120982602"/>
    <n v="0"/>
    <n v="111.788785009987"/>
    <n v="321"/>
    <n v="3E+20"/>
    <n v="1"/>
    <n v="1"/>
  </r>
  <r>
    <x v="0"/>
    <s v="2026-02-04 15:37:34"/>
    <n v="1"/>
    <x v="2"/>
    <x v="1"/>
    <x v="1"/>
    <n v="0"/>
    <n v="2E+20"/>
    <n v="0"/>
    <n v="0"/>
    <n v="203"/>
    <s v="Unnamed ProjectType 2 PassengerNVA TimeEntity"/>
    <n v="1"/>
    <n v="0"/>
    <n v="0"/>
    <n v="0.95"/>
    <n v="4E+20"/>
    <n v="0"/>
    <n v="0"/>
    <n v="0"/>
    <n v="0"/>
    <n v="203"/>
    <n v="2E+20"/>
    <n v="1"/>
    <n v="1"/>
  </r>
  <r>
    <x v="0"/>
    <s v="2026-02-04 15:37:34"/>
    <n v="1"/>
    <x v="2"/>
    <x v="2"/>
    <x v="1"/>
    <n v="0"/>
    <n v="2E+20"/>
    <n v="0"/>
    <n v="0"/>
    <n v="203"/>
    <s v="Unnamed ProjectType 2 PassengerOther TimeEntity"/>
    <n v="1"/>
    <n v="0"/>
    <n v="0"/>
    <n v="0.95"/>
    <n v="4E+20"/>
    <n v="0"/>
    <n v="0"/>
    <n v="0"/>
    <n v="0"/>
    <n v="203"/>
    <n v="2E+20"/>
    <n v="1"/>
    <n v="1"/>
  </r>
  <r>
    <x v="0"/>
    <s v="2026-02-04 15:37:34"/>
    <n v="1"/>
    <x v="2"/>
    <x v="3"/>
    <x v="1"/>
    <n v="67.6862728107442"/>
    <n v="2E+20"/>
    <n v="13.1625422946468"/>
    <n v="127.060831802498"/>
    <n v="203"/>
    <s v="Unnamed ProjectType 2 PassengerTotal TimeEntity"/>
    <n v="1"/>
    <n v="67.6862728107442"/>
    <n v="0"/>
    <n v="0.95"/>
    <n v="4E+20"/>
    <n v="67.6862728107442"/>
    <n v="67.6862728107442"/>
    <n v="13.1625422946468"/>
    <n v="127.060831802498"/>
    <n v="203"/>
    <n v="2E+20"/>
    <n v="1"/>
    <n v="1"/>
  </r>
  <r>
    <x v="0"/>
    <s v="2026-02-04 15:37:34"/>
    <n v="1"/>
    <x v="2"/>
    <x v="4"/>
    <x v="1"/>
    <n v="4.9480357641160602"/>
    <n v="2E+20"/>
    <n v="4.1046820187192496"/>
    <n v="5.91203610473673"/>
    <n v="203"/>
    <s v="Unnamed ProjectType 2 PassengerTransfer TimeEntity"/>
    <n v="1"/>
    <n v="4.9480357641160602"/>
    <n v="0"/>
    <n v="0.95"/>
    <n v="4E+20"/>
    <n v="4.9480357641160602"/>
    <n v="4.9480357641160602"/>
    <n v="4.1046820187192496"/>
    <n v="5.91203610473673"/>
    <n v="203"/>
    <n v="2E+20"/>
    <n v="1"/>
    <n v="1"/>
  </r>
  <r>
    <x v="0"/>
    <s v="2026-02-04 15:37:34"/>
    <n v="1"/>
    <x v="2"/>
    <x v="5"/>
    <x v="1"/>
    <n v="11.114227186096301"/>
    <n v="2E+20"/>
    <n v="7.36667107431742"/>
    <n v="17.031499075604799"/>
    <n v="203"/>
    <s v="Unnamed ProjectType 2 PassengerVA TimeEntity"/>
    <n v="1"/>
    <n v="11.114227186096301"/>
    <n v="0"/>
    <n v="0.95"/>
    <n v="4E+20"/>
    <n v="11.114227186096301"/>
    <n v="11.114227186096301"/>
    <n v="7.36667107431742"/>
    <n v="17.031499075604799"/>
    <n v="203"/>
    <n v="2E+20"/>
    <n v="1"/>
    <n v="1"/>
  </r>
  <r>
    <x v="0"/>
    <s v="2026-02-04 15:37:34"/>
    <n v="1"/>
    <x v="2"/>
    <x v="6"/>
    <x v="1"/>
    <n v="51.6240098605318"/>
    <n v="2E+20"/>
    <n v="0"/>
    <n v="109.41715309013"/>
    <n v="203"/>
    <s v="Unnamed ProjectType 2 PassengerWait TimeEntity"/>
    <n v="1"/>
    <n v="51.6240098605318"/>
    <n v="0"/>
    <n v="0.95"/>
    <n v="4E+20"/>
    <n v="51.6240098605318"/>
    <n v="51.6240098605318"/>
    <n v="0"/>
    <n v="109.41715309013"/>
    <n v="203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6-02-04 15:37:34"/>
    <n v="1"/>
    <x v="0"/>
    <x v="0"/>
    <x v="0"/>
    <n v="530"/>
    <n v="0"/>
    <s v="Unnamed ProjectCheckin agent.NumberSeizedTotal Number SeizedResource"/>
    <n v="1"/>
    <n v="530"/>
    <n v="0"/>
    <n v="0.95"/>
    <n v="4E+20"/>
    <n v="530"/>
    <n v="530"/>
  </r>
  <r>
    <x v="0"/>
    <s v="2026-02-04 15:37:34"/>
    <n v="1"/>
    <x v="1"/>
    <x v="1"/>
    <x v="0"/>
    <n v="0.96767454881639303"/>
    <n v="0"/>
    <s v="Unnamed ProjectCheckin agent.ScheduledUtilizationScheduled UtilizationResource"/>
    <n v="1"/>
    <n v="0.96767454881639303"/>
    <n v="0"/>
    <n v="0.95"/>
    <n v="4E+20"/>
    <n v="0.96767454881639303"/>
    <n v="0.96767454881639303"/>
  </r>
  <r>
    <x v="0"/>
    <s v="2026-02-04 15:37:34"/>
    <n v="1"/>
    <x v="2"/>
    <x v="2"/>
    <x v="1"/>
    <n v="0"/>
    <n v="0"/>
    <s v="Unnamed ProjectPassenger.NumberInNumber InEntity"/>
    <n v="1"/>
    <n v="0"/>
    <n v="0"/>
    <n v="0.95"/>
    <n v="4E+20"/>
    <n v="0"/>
    <n v="0"/>
  </r>
  <r>
    <x v="0"/>
    <s v="2026-02-04 15:37:34"/>
    <n v="1"/>
    <x v="3"/>
    <x v="3"/>
    <x v="1"/>
    <n v="0"/>
    <n v="0"/>
    <s v="Unnamed ProjectPassenger.NumberOutNumber OutEntity"/>
    <n v="1"/>
    <n v="0"/>
    <n v="0"/>
    <n v="0.95"/>
    <n v="4E+20"/>
    <n v="0"/>
    <n v="0"/>
  </r>
  <r>
    <x v="0"/>
    <s v="2026-02-04 15:37:34"/>
    <n v="1"/>
    <x v="4"/>
    <x v="3"/>
    <x v="2"/>
    <n v="524"/>
    <n v="0"/>
    <s v="Unnamed ProjectSystem.NumberOutNumber OutSystem"/>
    <n v="1"/>
    <n v="524"/>
    <n v="0"/>
    <n v="0.95"/>
    <n v="4E+20"/>
    <n v="524"/>
    <n v="524"/>
  </r>
  <r>
    <x v="0"/>
    <s v="2026-02-04 15:37:34"/>
    <n v="1"/>
    <x v="5"/>
    <x v="2"/>
    <x v="1"/>
    <n v="375"/>
    <n v="0"/>
    <s v="Unnamed ProjectType 1 Passenger.NumberInNumber InEntity"/>
    <n v="1"/>
    <n v="375"/>
    <n v="0"/>
    <n v="0.95"/>
    <n v="4E+20"/>
    <n v="375"/>
    <n v="375"/>
  </r>
  <r>
    <x v="0"/>
    <s v="2026-02-04 15:37:34"/>
    <n v="1"/>
    <x v="6"/>
    <x v="3"/>
    <x v="1"/>
    <n v="321"/>
    <n v="0"/>
    <s v="Unnamed ProjectType 1 Passenger.NumberOutNumber OutEntity"/>
    <n v="1"/>
    <n v="321"/>
    <n v="0"/>
    <n v="0.95"/>
    <n v="4E+20"/>
    <n v="321"/>
    <n v="321"/>
  </r>
  <r>
    <x v="0"/>
    <s v="2026-02-04 15:37:34"/>
    <n v="1"/>
    <x v="7"/>
    <x v="2"/>
    <x v="1"/>
    <n v="238"/>
    <n v="0"/>
    <s v="Unnamed ProjectType 2 Passenger.NumberInNumber InEntity"/>
    <n v="1"/>
    <n v="238"/>
    <n v="0"/>
    <n v="0.95"/>
    <n v="4E+20"/>
    <n v="238"/>
    <n v="238"/>
  </r>
  <r>
    <x v="0"/>
    <s v="2026-02-04 15:37:34"/>
    <n v="1"/>
    <x v="8"/>
    <x v="3"/>
    <x v="1"/>
    <n v="203"/>
    <n v="0"/>
    <s v="Unnamed ProjectType 2 Passenger.NumberOutNumber OutEntity"/>
    <n v="1"/>
    <n v="203"/>
    <n v="0"/>
    <n v="0.95"/>
    <n v="4E+20"/>
    <n v="203"/>
    <n v="2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30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30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m="1" x="127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8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  <i r="1">
      <x v="127"/>
      <x v="4"/>
      <x/>
    </i>
    <i r="1">
      <x v="128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31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32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3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32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4"/>
        <item m="1" x="68"/>
        <item m="1" x="55"/>
        <item m="1" x="72"/>
        <item m="1" x="57"/>
        <item m="1" x="73"/>
        <item m="1" x="80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3"/>
        <item m="1" x="23"/>
        <item m="1" x="86"/>
        <item m="1" x="51"/>
        <item m="1" x="18"/>
        <item m="1" x="81"/>
        <item m="1" x="76"/>
        <item m="1" x="52"/>
        <item m="1" x="19"/>
        <item m="1" x="82"/>
        <item m="1" x="77"/>
        <item m="1" x="14"/>
        <item m="1" x="48"/>
        <item m="1" x="32"/>
        <item m="1" x="22"/>
        <item m="1" x="74"/>
        <item m="1" x="44"/>
        <item m="1" x="75"/>
        <item m="1" x="45"/>
        <item m="1" x="31"/>
        <item m="1" x="26"/>
        <item m="1" x="53"/>
        <item m="1" x="28"/>
        <item m="1" x="85"/>
        <item m="1" x="78"/>
        <item m="1" x="27"/>
        <item m="1" x="25"/>
        <item m="1" x="70"/>
        <item m="1" x="79"/>
        <item m="1" x="15"/>
        <item m="1" x="33"/>
        <item m="1" x="46"/>
        <item m="1" x="67"/>
        <item m="1" x="84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0"/>
        <item x="1"/>
        <item x="2"/>
        <item x="3"/>
        <item x="5"/>
        <item x="6"/>
        <item x="7"/>
        <item x="8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/>
      <x/>
    </i>
    <i r="1">
      <x v="8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4" tableType="queryTable" totalsRowShown="0">
  <autoFilter ref="A1:Y14" xr:uid="{C3D003CA-1AFF-426C-A03D-D3AF5760DF1A}"/>
  <sortState xmlns:xlrd2="http://schemas.microsoft.com/office/spreadsheetml/2017/richdata2" ref="A2:Y14">
    <sortCondition ref="D1:D14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960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51.421683317255599</v>
      </c>
      <c r="F3" s="5">
        <v>1</v>
      </c>
      <c r="G3" s="5">
        <v>3E+20</v>
      </c>
      <c r="H3" s="5">
        <v>0</v>
      </c>
      <c r="I3" s="5">
        <v>51.421683317255599</v>
      </c>
      <c r="J3" s="5">
        <v>51.421683317255599</v>
      </c>
      <c r="K3" s="5">
        <v>0</v>
      </c>
      <c r="L3" s="5">
        <v>111.788785009987</v>
      </c>
      <c r="M3" s="5">
        <v>530</v>
      </c>
      <c r="O3" t="s">
        <v>67</v>
      </c>
      <c r="P3" t="s">
        <v>83</v>
      </c>
      <c r="Q3" t="s">
        <v>84</v>
      </c>
      <c r="R3" t="s">
        <v>85</v>
      </c>
      <c r="S3" s="5">
        <v>0.97027132027285401</v>
      </c>
      <c r="T3" s="5">
        <v>2E+20</v>
      </c>
      <c r="U3" s="5">
        <v>0</v>
      </c>
      <c r="V3" s="5">
        <v>0.97027132027285401</v>
      </c>
      <c r="W3" s="5">
        <v>0.97027132027285401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99</v>
      </c>
      <c r="AM3" t="s">
        <v>98</v>
      </c>
      <c r="AN3" t="s">
        <v>100</v>
      </c>
      <c r="AO3" s="5">
        <v>524</v>
      </c>
      <c r="AP3" s="5">
        <v>4E+20</v>
      </c>
      <c r="AQ3" s="5">
        <v>0</v>
      </c>
      <c r="AR3" s="5">
        <v>524</v>
      </c>
      <c r="AS3" s="5">
        <v>524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321</v>
      </c>
      <c r="Q4" t="s">
        <v>86</v>
      </c>
      <c r="R4" t="s">
        <v>85</v>
      </c>
      <c r="S4" s="5">
        <v>4.3838162048392801</v>
      </c>
      <c r="T4" s="5">
        <v>2E+20</v>
      </c>
      <c r="U4" s="5">
        <v>0</v>
      </c>
      <c r="V4" s="5">
        <v>4.3838162048392801</v>
      </c>
      <c r="W4" s="5">
        <v>4.3838162048392801</v>
      </c>
      <c r="X4" s="5">
        <v>0</v>
      </c>
      <c r="Y4" s="5">
        <v>5</v>
      </c>
      <c r="AL4" t="s">
        <v>91</v>
      </c>
      <c r="AM4" t="s">
        <v>92</v>
      </c>
      <c r="AN4" t="s">
        <v>85</v>
      </c>
      <c r="AO4" s="5">
        <v>530</v>
      </c>
      <c r="AP4" s="5">
        <v>4E+20</v>
      </c>
      <c r="AQ4" s="5">
        <v>0</v>
      </c>
      <c r="AR4" s="5">
        <v>530</v>
      </c>
      <c r="AS4" s="5">
        <v>530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321</v>
      </c>
      <c r="Q5" t="s">
        <v>87</v>
      </c>
      <c r="R5" t="s">
        <v>85</v>
      </c>
      <c r="S5" s="5">
        <v>4.5302588666833596</v>
      </c>
      <c r="T5" s="5">
        <v>2E+20</v>
      </c>
      <c r="U5" s="5">
        <v>0</v>
      </c>
      <c r="V5" s="5">
        <v>4.5302588666833596</v>
      </c>
      <c r="W5" s="5">
        <v>4.5302588666833596</v>
      </c>
      <c r="X5" s="5">
        <v>4</v>
      </c>
      <c r="Y5" s="5">
        <v>5</v>
      </c>
      <c r="AL5" t="s">
        <v>93</v>
      </c>
      <c r="AM5" t="s">
        <v>94</v>
      </c>
      <c r="AN5" t="s">
        <v>85</v>
      </c>
      <c r="AO5" s="5">
        <v>0.96767454881639303</v>
      </c>
      <c r="AP5" s="5">
        <v>4E+20</v>
      </c>
      <c r="AQ5" s="5">
        <v>0</v>
      </c>
      <c r="AR5" s="5">
        <v>0.96767454881639303</v>
      </c>
      <c r="AS5" s="5">
        <v>0.96767454881639303</v>
      </c>
    </row>
    <row r="6" spans="1:52" x14ac:dyDescent="0.25">
      <c r="C6" t="s">
        <v>78</v>
      </c>
      <c r="D6" t="s">
        <v>76</v>
      </c>
      <c r="E6" s="5">
        <v>61.249583785688102</v>
      </c>
      <c r="F6" s="5">
        <v>1</v>
      </c>
      <c r="G6" s="5">
        <v>3E+20</v>
      </c>
      <c r="H6" s="5">
        <v>0</v>
      </c>
      <c r="I6" s="5">
        <v>61.249583785688102</v>
      </c>
      <c r="J6" s="5">
        <v>61.249583785688102</v>
      </c>
      <c r="K6" s="5">
        <v>8.9367709971946105</v>
      </c>
      <c r="L6" s="5">
        <v>125.899856560586</v>
      </c>
      <c r="M6" s="5">
        <v>321</v>
      </c>
      <c r="P6" t="s">
        <v>71</v>
      </c>
      <c r="Q6" t="s">
        <v>88</v>
      </c>
      <c r="R6" t="s">
        <v>73</v>
      </c>
      <c r="S6" s="5">
        <v>32.941055414091998</v>
      </c>
      <c r="T6" s="5">
        <v>3E+20</v>
      </c>
      <c r="U6" s="5">
        <v>0</v>
      </c>
      <c r="V6" s="5">
        <v>32.941055414091998</v>
      </c>
      <c r="W6" s="5">
        <v>32.941055414091998</v>
      </c>
      <c r="X6" s="5">
        <v>0</v>
      </c>
      <c r="Y6" s="5">
        <v>81</v>
      </c>
      <c r="AL6" t="s">
        <v>95</v>
      </c>
      <c r="AM6" t="s">
        <v>96</v>
      </c>
      <c r="AN6" t="s">
        <v>76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25">
      <c r="C7" t="s">
        <v>79</v>
      </c>
      <c r="D7" t="s">
        <v>76</v>
      </c>
      <c r="E7" s="5">
        <v>4.9748537951254699</v>
      </c>
      <c r="F7" s="5">
        <v>1</v>
      </c>
      <c r="G7" s="5">
        <v>5.5990266494999899E-2</v>
      </c>
      <c r="H7" s="5">
        <v>0</v>
      </c>
      <c r="I7" s="5">
        <v>4.9748537951254699</v>
      </c>
      <c r="J7" s="5">
        <v>4.9748537951254699</v>
      </c>
      <c r="K7" s="5">
        <v>4.04180125769608</v>
      </c>
      <c r="L7" s="5">
        <v>5.9316706505416104</v>
      </c>
      <c r="M7" s="5">
        <v>321</v>
      </c>
      <c r="P7" t="s">
        <v>89</v>
      </c>
      <c r="Q7" t="s">
        <v>90</v>
      </c>
      <c r="R7" t="s">
        <v>76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97</v>
      </c>
      <c r="AM7" t="s">
        <v>98</v>
      </c>
      <c r="AN7" t="s">
        <v>76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25">
      <c r="C8" t="s">
        <v>80</v>
      </c>
      <c r="D8" t="s">
        <v>76</v>
      </c>
      <c r="E8" s="5">
        <v>5.99430586958003</v>
      </c>
      <c r="F8" s="5">
        <v>1</v>
      </c>
      <c r="G8" s="5">
        <v>0.15357901244368399</v>
      </c>
      <c r="H8" s="5">
        <v>0</v>
      </c>
      <c r="I8" s="5">
        <v>5.99430586958003</v>
      </c>
      <c r="J8" s="5">
        <v>5.99430586958003</v>
      </c>
      <c r="K8" s="5">
        <v>3.2009247017675801</v>
      </c>
      <c r="L8" s="5">
        <v>10.896394293808701</v>
      </c>
      <c r="M8" s="5">
        <v>321</v>
      </c>
      <c r="P8" t="s">
        <v>74</v>
      </c>
      <c r="Q8" t="s">
        <v>90</v>
      </c>
      <c r="R8" t="s">
        <v>76</v>
      </c>
      <c r="S8" s="5">
        <v>24.018936904140201</v>
      </c>
      <c r="T8" s="5">
        <v>3E+20</v>
      </c>
      <c r="U8" s="5">
        <v>0</v>
      </c>
      <c r="V8" s="5">
        <v>24.018936904140201</v>
      </c>
      <c r="W8" s="5">
        <v>24.018936904140201</v>
      </c>
      <c r="X8" s="5">
        <v>0</v>
      </c>
      <c r="Y8" s="5">
        <v>57</v>
      </c>
      <c r="AL8" t="s">
        <v>101</v>
      </c>
      <c r="AM8" t="s">
        <v>96</v>
      </c>
      <c r="AN8" t="s">
        <v>76</v>
      </c>
      <c r="AO8" s="5">
        <v>375</v>
      </c>
      <c r="AP8" s="5">
        <v>4E+20</v>
      </c>
      <c r="AQ8" s="5">
        <v>0</v>
      </c>
      <c r="AR8" s="5">
        <v>375</v>
      </c>
      <c r="AS8" s="5">
        <v>375</v>
      </c>
    </row>
    <row r="9" spans="1:52" x14ac:dyDescent="0.25">
      <c r="C9" t="s">
        <v>81</v>
      </c>
      <c r="D9" t="s">
        <v>76</v>
      </c>
      <c r="E9" s="5">
        <v>50.280424120982602</v>
      </c>
      <c r="F9" s="5">
        <v>1</v>
      </c>
      <c r="G9" s="5">
        <v>3E+20</v>
      </c>
      <c r="H9" s="5">
        <v>0</v>
      </c>
      <c r="I9" s="5">
        <v>50.280424120982602</v>
      </c>
      <c r="J9" s="5">
        <v>50.280424120982602</v>
      </c>
      <c r="K9" s="5">
        <v>0</v>
      </c>
      <c r="L9" s="5">
        <v>111.788785009987</v>
      </c>
      <c r="M9" s="5">
        <v>321</v>
      </c>
      <c r="P9" t="s">
        <v>82</v>
      </c>
      <c r="Q9" t="s">
        <v>90</v>
      </c>
      <c r="R9" t="s">
        <v>76</v>
      </c>
      <c r="S9" s="5">
        <v>16.239118302624099</v>
      </c>
      <c r="T9" s="5">
        <v>3E+20</v>
      </c>
      <c r="U9" s="5">
        <v>0</v>
      </c>
      <c r="V9" s="5">
        <v>16.239118302624099</v>
      </c>
      <c r="W9" s="5">
        <v>16.239118302624099</v>
      </c>
      <c r="X9" s="5">
        <v>0</v>
      </c>
      <c r="Y9" s="5">
        <v>35</v>
      </c>
      <c r="AL9" t="s">
        <v>102</v>
      </c>
      <c r="AM9" t="s">
        <v>98</v>
      </c>
      <c r="AN9" t="s">
        <v>76</v>
      </c>
      <c r="AO9" s="5">
        <v>321</v>
      </c>
      <c r="AP9" s="5">
        <v>4E+20</v>
      </c>
      <c r="AQ9" s="5">
        <v>0</v>
      </c>
      <c r="AR9" s="5">
        <v>321</v>
      </c>
      <c r="AS9" s="5">
        <v>321</v>
      </c>
    </row>
    <row r="10" spans="1:52" x14ac:dyDescent="0.25">
      <c r="B10" t="s">
        <v>82</v>
      </c>
      <c r="C10" t="s">
        <v>75</v>
      </c>
      <c r="D10" t="s">
        <v>76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203</v>
      </c>
      <c r="AL10" t="s">
        <v>103</v>
      </c>
      <c r="AM10" t="s">
        <v>96</v>
      </c>
      <c r="AN10" t="s">
        <v>76</v>
      </c>
      <c r="AO10" s="5">
        <v>238</v>
      </c>
      <c r="AP10" s="5">
        <v>4E+20</v>
      </c>
      <c r="AQ10" s="5">
        <v>0</v>
      </c>
      <c r="AR10" s="5">
        <v>238</v>
      </c>
      <c r="AS10" s="5">
        <v>238</v>
      </c>
    </row>
    <row r="11" spans="1:52" x14ac:dyDescent="0.25">
      <c r="C11" t="s">
        <v>77</v>
      </c>
      <c r="D11" t="s">
        <v>76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203</v>
      </c>
      <c r="AL11" t="s">
        <v>104</v>
      </c>
      <c r="AM11" t="s">
        <v>98</v>
      </c>
      <c r="AN11" t="s">
        <v>76</v>
      </c>
      <c r="AO11" s="5">
        <v>203</v>
      </c>
      <c r="AP11" s="5">
        <v>4E+20</v>
      </c>
      <c r="AQ11" s="5">
        <v>0</v>
      </c>
      <c r="AR11" s="5">
        <v>203</v>
      </c>
      <c r="AS11" s="5">
        <v>203</v>
      </c>
    </row>
    <row r="12" spans="1:52" x14ac:dyDescent="0.25">
      <c r="C12" t="s">
        <v>78</v>
      </c>
      <c r="D12" t="s">
        <v>76</v>
      </c>
      <c r="E12" s="5">
        <v>67.6862728107442</v>
      </c>
      <c r="F12" s="5">
        <v>1</v>
      </c>
      <c r="G12" s="5">
        <v>2E+20</v>
      </c>
      <c r="H12" s="5">
        <v>0</v>
      </c>
      <c r="I12" s="5">
        <v>67.6862728107442</v>
      </c>
      <c r="J12" s="5">
        <v>67.6862728107442</v>
      </c>
      <c r="K12" s="5">
        <v>13.1625422946468</v>
      </c>
      <c r="L12" s="5">
        <v>127.060831802498</v>
      </c>
      <c r="M12" s="5">
        <v>203</v>
      </c>
    </row>
    <row r="13" spans="1:52" x14ac:dyDescent="0.25">
      <c r="C13" t="s">
        <v>79</v>
      </c>
      <c r="D13" t="s">
        <v>76</v>
      </c>
      <c r="E13" s="5">
        <v>4.9480357641160602</v>
      </c>
      <c r="F13" s="5">
        <v>1</v>
      </c>
      <c r="G13" s="5">
        <v>2E+20</v>
      </c>
      <c r="H13" s="5">
        <v>0</v>
      </c>
      <c r="I13" s="5">
        <v>4.9480357641160602</v>
      </c>
      <c r="J13" s="5">
        <v>4.9480357641160602</v>
      </c>
      <c r="K13" s="5">
        <v>4.1046820187192496</v>
      </c>
      <c r="L13" s="5">
        <v>5.91203610473673</v>
      </c>
      <c r="M13" s="5">
        <v>203</v>
      </c>
    </row>
    <row r="14" spans="1:52" x14ac:dyDescent="0.25">
      <c r="C14" t="s">
        <v>80</v>
      </c>
      <c r="D14" t="s">
        <v>76</v>
      </c>
      <c r="E14" s="5">
        <v>11.114227186096301</v>
      </c>
      <c r="F14" s="5">
        <v>1</v>
      </c>
      <c r="G14" s="5">
        <v>2E+20</v>
      </c>
      <c r="H14" s="5">
        <v>0</v>
      </c>
      <c r="I14" s="5">
        <v>11.114227186096301</v>
      </c>
      <c r="J14" s="5">
        <v>11.114227186096301</v>
      </c>
      <c r="K14" s="5">
        <v>7.36667107431742</v>
      </c>
      <c r="L14" s="5">
        <v>17.031499075604799</v>
      </c>
      <c r="M14" s="5">
        <v>203</v>
      </c>
    </row>
    <row r="15" spans="1:52" x14ac:dyDescent="0.25">
      <c r="C15" t="s">
        <v>81</v>
      </c>
      <c r="D15" t="s">
        <v>76</v>
      </c>
      <c r="E15" s="5">
        <v>51.6240098605318</v>
      </c>
      <c r="F15" s="5">
        <v>1</v>
      </c>
      <c r="G15" s="5">
        <v>2E+20</v>
      </c>
      <c r="H15" s="5">
        <v>0</v>
      </c>
      <c r="I15" s="5">
        <v>51.6240098605318</v>
      </c>
      <c r="J15" s="5">
        <v>51.6240098605318</v>
      </c>
      <c r="K15" s="5">
        <v>0</v>
      </c>
      <c r="L15" s="5">
        <v>109.41715309013</v>
      </c>
      <c r="M15" s="5">
        <v>203</v>
      </c>
    </row>
  </sheetData>
  <dataConsolidate/>
  <conditionalFormatting pivot="1" sqref="G3:G15">
    <cfRule type="expression" dxfId="31" priority="14">
      <formula>G3=200000000000000000000</formula>
    </cfRule>
  </conditionalFormatting>
  <conditionalFormatting pivot="1" sqref="T3:T9">
    <cfRule type="expression" dxfId="30" priority="13">
      <formula>T3=200000000000000000000</formula>
    </cfRule>
  </conditionalFormatting>
  <conditionalFormatting pivot="1" sqref="T3:T9">
    <cfRule type="expression" dxfId="29" priority="12">
      <formula>T3=300000000000000000000</formula>
    </cfRule>
  </conditionalFormatting>
  <conditionalFormatting pivot="1" sqref="G3:G15">
    <cfRule type="expression" dxfId="28" priority="11">
      <formula>G3=300000000000000000000</formula>
    </cfRule>
  </conditionalFormatting>
  <conditionalFormatting pivot="1" sqref="F3:F15">
    <cfRule type="expression" dxfId="27" priority="10">
      <formula>F3=0</formula>
    </cfRule>
  </conditionalFormatting>
  <conditionalFormatting pivot="1" sqref="F3:F15">
    <cfRule type="expression" dxfId="26" priority="9">
      <formula>F3=1</formula>
    </cfRule>
  </conditionalFormatting>
  <conditionalFormatting pivot="1" sqref="T3:T9">
    <cfRule type="expression" dxfId="25" priority="8">
      <formula>T3=400000000000000000000</formula>
    </cfRule>
  </conditionalFormatting>
  <conditionalFormatting pivot="1" sqref="AP3:AP1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5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4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51.421683317255599</v>
      </c>
      <c r="H2">
        <v>3E+20</v>
      </c>
      <c r="I2">
        <v>0</v>
      </c>
      <c r="J2">
        <v>111.788785009987</v>
      </c>
      <c r="K2">
        <v>530</v>
      </c>
      <c r="L2" t="str">
        <f>DiscreteStatsTable[[#This Row],[ProjectName]]&amp;DiscreteStatsTable[[#This Row],[Name]]&amp;DiscreteStatsTable[[#This Row],[Type]]&amp;DiscreteStatsTable[[#This Row],[Source]]</f>
        <v>Unnamed ProjectCheckin desk.QueueWaiting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51.421683317255599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51.421683317255599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51.421683317255599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111.788785009987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530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0</v>
      </c>
      <c r="I3">
        <v>0</v>
      </c>
      <c r="J3">
        <v>0</v>
      </c>
      <c r="K3">
        <v>321</v>
      </c>
      <c r="L3" t="str">
        <f>DiscreteStatsTable[[#This Row],[ProjectName]]&amp;DiscreteStatsTable[[#This Row],[Name]]&amp;DiscreteStatsTable[[#This Row],[Type]]&amp;DiscreteStatsTable[[#This Row],[Source]]</f>
        <v>Unnamed ProjectType 1 PassengerNVA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321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0</v>
      </c>
      <c r="I4">
        <v>0</v>
      </c>
      <c r="J4">
        <v>0</v>
      </c>
      <c r="K4">
        <v>321</v>
      </c>
      <c r="L4" t="str">
        <f>DiscreteStatsTable[[#This Row],[ProjectName]]&amp;DiscreteStatsTable[[#This Row],[Name]]&amp;DiscreteStatsTable[[#This Row],[Type]]&amp;DiscreteStatsTable[[#This Row],[Source]]</f>
        <v>Unnamed ProjectType 1 PassengerOther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321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61.249583785688102</v>
      </c>
      <c r="H5">
        <v>3E+20</v>
      </c>
      <c r="I5">
        <v>8.9367709971946105</v>
      </c>
      <c r="J5">
        <v>125.899856560586</v>
      </c>
      <c r="K5">
        <v>321</v>
      </c>
      <c r="L5" t="str">
        <f>DiscreteStatsTable[[#This Row],[ProjectName]]&amp;DiscreteStatsTable[[#This Row],[Name]]&amp;DiscreteStatsTable[[#This Row],[Type]]&amp;DiscreteStatsTable[[#This Row],[Source]]</f>
        <v>Unnamed ProjectType 1 PassengerTotal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61.249583785688102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61.249583785688102</v>
      </c>
      <c r="S5" cm="1">
        <f t="array" ref="S5">MAX(IF((DiscreteStatsTable[GroupByKey]=DiscreteStatsTable[[#This Row],[GroupByKey]]),(DiscreteStatsTable[GroupByKey]=DiscreteStatsTable[[#This Row],[GroupByKey]])*DiscreteStatsTable[Average]))</f>
        <v>61.249583785688102</v>
      </c>
      <c r="T5" cm="1">
        <f t="array" ref="T5">MIN(IF((DiscreteStatsTable[GroupByKey]=DiscreteStatsTable[[#This Row],[GroupByKey]]),(DiscreteStatsTable[GroupByKey]=DiscreteStatsTable[[#This Row],[GroupByKey]])*DiscreteStatsTable[Minimum]))</f>
        <v>8.9367709971946105</v>
      </c>
      <c r="U5" cm="1">
        <f t="array" ref="U5">MAX(IF((DiscreteStatsTable[GroupByKey]=DiscreteStatsTable[[#This Row],[GroupByKey]]),(DiscreteStatsTable[GroupByKey]=DiscreteStatsTable[[#This Row],[GroupByKey]])*DiscreteStatsTable[Maximum]))</f>
        <v>125.899856560586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321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4.9748537951254699</v>
      </c>
      <c r="H6">
        <v>5.5990266494999899E-2</v>
      </c>
      <c r="I6">
        <v>4.04180125769608</v>
      </c>
      <c r="J6">
        <v>5.9316706505416104</v>
      </c>
      <c r="K6">
        <v>321</v>
      </c>
      <c r="L6" t="str">
        <f>DiscreteStatsTable[[#This Row],[ProjectName]]&amp;DiscreteStatsTable[[#This Row],[Name]]&amp;DiscreteStatsTable[[#This Row],[Type]]&amp;DiscreteStatsTable[[#This Row],[Source]]</f>
        <v>Unnamed ProjectType 1 PassengerTransfer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4.9748537951254699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4.9748537951254699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4.9748537951254699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4.04180125769608</v>
      </c>
      <c r="U6" cm="1">
        <f t="array" ref="U6">MAX(IF((DiscreteStatsTable[GroupByKey]=DiscreteStatsTable[[#This Row],[GroupByKey]]),(DiscreteStatsTable[GroupByKey]=DiscreteStatsTable[[#This Row],[GroupByKey]])*DiscreteStatsTable[Maximum]))</f>
        <v>5.9316706505416104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321</v>
      </c>
      <c r="W6">
        <f>IF((DiscreteStatsTable[[#This Row],[RepsRequested]]&gt;1),DiscreteStatsTable[[#This Row],[HalfWidth]],DiscreteStatsTable[[#This Row],[BatchMeansHalfWidth]])</f>
        <v>5.5990266494999899E-2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5.99430586958003</v>
      </c>
      <c r="H7">
        <v>0.15357901244368399</v>
      </c>
      <c r="I7">
        <v>3.2009247017675801</v>
      </c>
      <c r="J7">
        <v>10.896394293808701</v>
      </c>
      <c r="K7">
        <v>321</v>
      </c>
      <c r="L7" t="str">
        <f>DiscreteStatsTable[[#This Row],[ProjectName]]&amp;DiscreteStatsTable[[#This Row],[Name]]&amp;DiscreteStatsTable[[#This Row],[Type]]&amp;DiscreteStatsTable[[#This Row],[Source]]</f>
        <v>Unnamed ProjectType 1 PassengerVA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5.99430586958003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5.99430586958003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5.99430586958003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3.2009247017675801</v>
      </c>
      <c r="U7" cm="1">
        <f t="array" ref="U7">MAX(IF((DiscreteStatsTable[GroupByKey]=DiscreteStatsTable[[#This Row],[GroupByKey]]),(DiscreteStatsTable[GroupByKey]=DiscreteStatsTable[[#This Row],[GroupByKey]])*DiscreteStatsTable[Maximum]))</f>
        <v>10.896394293808701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321</v>
      </c>
      <c r="W7">
        <f>IF((DiscreteStatsTable[[#This Row],[RepsRequested]]&gt;1),DiscreteStatsTable[[#This Row],[HalfWidth]],DiscreteStatsTable[[#This Row],[BatchMeansHalfWidth]])</f>
        <v>0.15357901244368399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50.280424120982602</v>
      </c>
      <c r="H8">
        <v>3E+20</v>
      </c>
      <c r="I8">
        <v>0</v>
      </c>
      <c r="J8">
        <v>111.788785009987</v>
      </c>
      <c r="K8">
        <v>321</v>
      </c>
      <c r="L8" t="str">
        <f>DiscreteStatsTable[[#This Row],[ProjectName]]&amp;DiscreteStatsTable[[#This Row],[Name]]&amp;DiscreteStatsTable[[#This Row],[Type]]&amp;DiscreteStatsTable[[#This Row],[Source]]</f>
        <v>Unnamed ProjectType 1 PassengerWait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50.280424120982602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50.280424120982602</v>
      </c>
      <c r="S8" cm="1">
        <f t="array" ref="S8">MAX(IF((DiscreteStatsTable[GroupByKey]=DiscreteStatsTable[[#This Row],[GroupByKey]]),(DiscreteStatsTable[GroupByKey]=DiscreteStatsTable[[#This Row],[GroupByKey]])*DiscreteStatsTable[Average]))</f>
        <v>50.280424120982602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111.788785009987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321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82</v>
      </c>
      <c r="E9" t="s">
        <v>75</v>
      </c>
      <c r="F9" t="s">
        <v>76</v>
      </c>
      <c r="G9">
        <v>0</v>
      </c>
      <c r="H9">
        <v>2E+20</v>
      </c>
      <c r="I9">
        <v>0</v>
      </c>
      <c r="J9">
        <v>0</v>
      </c>
      <c r="K9">
        <v>203</v>
      </c>
      <c r="L9" t="str">
        <f>DiscreteStatsTable[[#This Row],[ProjectName]]&amp;DiscreteStatsTable[[#This Row],[Name]]&amp;DiscreteStatsTable[[#This Row],[Type]]&amp;DiscreteStatsTable[[#This Row],[Source]]</f>
        <v>Unnamed ProjectType 2 PassengerNVA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203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82</v>
      </c>
      <c r="E10" t="s">
        <v>77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203</v>
      </c>
      <c r="L10" t="str">
        <f>DiscreteStatsTable[[#This Row],[ProjectName]]&amp;DiscreteStatsTable[[#This Row],[Name]]&amp;DiscreteStatsTable[[#This Row],[Type]]&amp;DiscreteStatsTable[[#This Row],[Source]]</f>
        <v>Unnamed ProjectType 2 PassengerOther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203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82</v>
      </c>
      <c r="E11" t="s">
        <v>78</v>
      </c>
      <c r="F11" t="s">
        <v>76</v>
      </c>
      <c r="G11">
        <v>67.6862728107442</v>
      </c>
      <c r="H11">
        <v>2E+20</v>
      </c>
      <c r="I11">
        <v>13.1625422946468</v>
      </c>
      <c r="J11">
        <v>127.060831802498</v>
      </c>
      <c r="K11">
        <v>203</v>
      </c>
      <c r="L11" t="str">
        <f>DiscreteStatsTable[[#This Row],[ProjectName]]&amp;DiscreteStatsTable[[#This Row],[Name]]&amp;DiscreteStatsTable[[#This Row],[Type]]&amp;DiscreteStatsTable[[#This Row],[Source]]</f>
        <v>Unnamed ProjectType 2 PassengerTotal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67.6862728107442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67.6862728107442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67.6862728107442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13.1625422946468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127.060831802498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203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82</v>
      </c>
      <c r="E12" t="s">
        <v>79</v>
      </c>
      <c r="F12" t="s">
        <v>76</v>
      </c>
      <c r="G12">
        <v>4.9480357641160602</v>
      </c>
      <c r="H12">
        <v>2E+20</v>
      </c>
      <c r="I12">
        <v>4.1046820187192496</v>
      </c>
      <c r="J12">
        <v>5.91203610473673</v>
      </c>
      <c r="K12">
        <v>203</v>
      </c>
      <c r="L12" t="str">
        <f>DiscreteStatsTable[[#This Row],[ProjectName]]&amp;DiscreteStatsTable[[#This Row],[Name]]&amp;DiscreteStatsTable[[#This Row],[Type]]&amp;DiscreteStatsTable[[#This Row],[Source]]</f>
        <v>Unnamed ProjectType 2 PassengerTransfer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4.9480357641160602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4.9480357641160602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4.9480357641160602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4.1046820187192496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5.91203610473673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203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82</v>
      </c>
      <c r="E13" t="s">
        <v>80</v>
      </c>
      <c r="F13" t="s">
        <v>76</v>
      </c>
      <c r="G13">
        <v>11.114227186096301</v>
      </c>
      <c r="H13">
        <v>2E+20</v>
      </c>
      <c r="I13">
        <v>7.36667107431742</v>
      </c>
      <c r="J13">
        <v>17.031499075604799</v>
      </c>
      <c r="K13">
        <v>203</v>
      </c>
      <c r="L13" t="str">
        <f>DiscreteStatsTable[[#This Row],[ProjectName]]&amp;DiscreteStatsTable[[#This Row],[Name]]&amp;DiscreteStatsTable[[#This Row],[Type]]&amp;DiscreteStatsTable[[#This Row],[Source]]</f>
        <v>Unnamed ProjectType 2 PassengerVA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11.114227186096301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11.114227186096301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11.114227186096301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7.36667107431742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17.031499075604799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203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1</v>
      </c>
      <c r="D14" t="s">
        <v>82</v>
      </c>
      <c r="E14" t="s">
        <v>81</v>
      </c>
      <c r="F14" t="s">
        <v>76</v>
      </c>
      <c r="G14">
        <v>51.6240098605318</v>
      </c>
      <c r="H14">
        <v>2E+20</v>
      </c>
      <c r="I14">
        <v>0</v>
      </c>
      <c r="J14">
        <v>109.41715309013</v>
      </c>
      <c r="K14">
        <v>203</v>
      </c>
      <c r="L14" t="str">
        <f>DiscreteStatsTable[[#This Row],[ProjectName]]&amp;DiscreteStatsTable[[#This Row],[Name]]&amp;DiscreteStatsTable[[#This Row],[Type]]&amp;DiscreteStatsTable[[#This Row],[Source]]</f>
        <v>Unnamed ProjectType 2 PassengerWait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51.6240098605318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51.6240098605318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51.6240098605318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109.41715309013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203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</sheetData>
  <phoneticPr fontId="2" type="noConversion"/>
  <conditionalFormatting sqref="H2:H14 Q2:Q14">
    <cfRule type="expression" dxfId="20" priority="23">
      <formula>H2=200000000000000000000</formula>
    </cfRule>
  </conditionalFormatting>
  <conditionalFormatting sqref="H2:H14">
    <cfRule type="expression" dxfId="19" priority="21">
      <formula>H2=300000000000000000000</formula>
    </cfRule>
  </conditionalFormatting>
  <conditionalFormatting sqref="L2:Y14">
    <cfRule type="expression" dxfId="18" priority="19">
      <formula>MOD(ROW(),2)=0</formula>
    </cfRule>
  </conditionalFormatting>
  <conditionalFormatting sqref="Y2:Y14">
    <cfRule type="expression" dxfId="17" priority="14">
      <formula>Y2=0</formula>
    </cfRule>
    <cfRule type="expression" dxfId="16" priority="16">
      <formula>Y2=1</formula>
    </cfRule>
  </conditionalFormatting>
  <conditionalFormatting sqref="Y3:Y14">
    <cfRule type="expression" dxfId="15" priority="15">
      <formula>Y3=1</formula>
    </cfRule>
  </conditionalFormatting>
  <conditionalFormatting sqref="W2:W14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4 W2:W14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83</v>
      </c>
      <c r="E2" t="s">
        <v>84</v>
      </c>
      <c r="F2" t="s">
        <v>85</v>
      </c>
      <c r="G2">
        <v>0.97027132027285401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ProjectCheckin agentInstantaneous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0.97027132027285401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0.97027132027285401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0.97027132027285401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83</v>
      </c>
      <c r="E3" t="s">
        <v>86</v>
      </c>
      <c r="F3" t="s">
        <v>85</v>
      </c>
      <c r="G3">
        <v>4.3838162048392801</v>
      </c>
      <c r="H3">
        <v>2E+20</v>
      </c>
      <c r="I3">
        <v>0</v>
      </c>
      <c r="J3">
        <v>5</v>
      </c>
      <c r="K3">
        <v>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ProjectCheckin agentNumber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4.3838162048392801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4.3838162048392801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4.3838162048392801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83</v>
      </c>
      <c r="E4" t="s">
        <v>87</v>
      </c>
      <c r="F4" t="s">
        <v>85</v>
      </c>
      <c r="G4">
        <v>4.5302588666833596</v>
      </c>
      <c r="H4">
        <v>2E+20</v>
      </c>
      <c r="I4">
        <v>4</v>
      </c>
      <c r="J4">
        <v>5</v>
      </c>
      <c r="K4">
        <v>5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ProjectCheckin agentNumber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4.5302588666833596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4.5302588666833596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4.5302588666833596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88</v>
      </c>
      <c r="F5" t="s">
        <v>73</v>
      </c>
      <c r="G5">
        <v>32.941055414091998</v>
      </c>
      <c r="H5">
        <v>3E+20</v>
      </c>
      <c r="I5">
        <v>0</v>
      </c>
      <c r="J5">
        <v>81</v>
      </c>
      <c r="K5">
        <v>80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ProjectCheckin desk.QueueNumber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32.941055414091998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32.941055414091998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32.941055414091998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70</v>
      </c>
      <c r="C6">
        <v>1</v>
      </c>
      <c r="D6" t="s">
        <v>89</v>
      </c>
      <c r="E6" t="s">
        <v>90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ProjectPassengerWIPEntity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74</v>
      </c>
      <c r="E7" t="s">
        <v>90</v>
      </c>
      <c r="F7" t="s">
        <v>76</v>
      </c>
      <c r="G7">
        <v>24.018936904140201</v>
      </c>
      <c r="H7">
        <v>3E+20</v>
      </c>
      <c r="I7">
        <v>0</v>
      </c>
      <c r="J7">
        <v>57</v>
      </c>
      <c r="K7">
        <v>54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ProjectType 1 PassengerWIPEntity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24.018936904140201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24.018936904140201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24.018936904140201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25">
      <c r="A8" t="s">
        <v>67</v>
      </c>
      <c r="B8" t="s">
        <v>70</v>
      </c>
      <c r="C8">
        <v>1</v>
      </c>
      <c r="D8" t="s">
        <v>82</v>
      </c>
      <c r="E8" t="s">
        <v>90</v>
      </c>
      <c r="F8" t="s">
        <v>76</v>
      </c>
      <c r="G8">
        <v>16.239118302624099</v>
      </c>
      <c r="H8">
        <v>3E+20</v>
      </c>
      <c r="I8">
        <v>0</v>
      </c>
      <c r="J8">
        <v>35</v>
      </c>
      <c r="K8">
        <v>35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ProjectType 2 PassengerWIPEntity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16.239118302624099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16.239118302624099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16.239118302624099</v>
      </c>
      <c r="U8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8">
    <cfRule type="expression" dxfId="11" priority="9">
      <formula>H2=200000000000000000000</formula>
    </cfRule>
  </conditionalFormatting>
  <conditionalFormatting sqref="H2:H8">
    <cfRule type="expression" dxfId="10" priority="7">
      <formula>H2=300000000000000000000</formula>
    </cfRule>
  </conditionalFormatting>
  <conditionalFormatting sqref="M2:U8">
    <cfRule type="expression" dxfId="9" priority="5">
      <formula>MOD(ROW(),2)=0</formula>
    </cfRule>
  </conditionalFormatting>
  <conditionalFormatting sqref="U2:U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8 U2:U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7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91</v>
      </c>
      <c r="E2" t="s">
        <v>92</v>
      </c>
      <c r="F2" t="s">
        <v>85</v>
      </c>
      <c r="G2">
        <v>530</v>
      </c>
      <c r="H2">
        <v>0</v>
      </c>
      <c r="I2" t="str">
        <f>OutputTable[[#This Row],[ProjectName]]&amp;OutputTable[[#This Row],[Name]]&amp;OutputTable[[#This Row],[Type]]&amp;OutputTable[[#This Row],[Source]]</f>
        <v>Unnamed ProjectCheckin agent.NumberSeizedTotal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530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530</v>
      </c>
      <c r="P2" cm="1">
        <f t="array" ref="P2">MAX(IF((OutputTable[GroupByKey]=OutputTable[[#This Row],[GroupByKey]]),(OutputTable[GroupByKey]=OutputTable[[#This Row],[GroupByKey]])*OutputTable[RecordedValue]))</f>
        <v>530</v>
      </c>
    </row>
    <row r="3" spans="1:16" x14ac:dyDescent="0.25">
      <c r="A3" t="s">
        <v>67</v>
      </c>
      <c r="B3" t="s">
        <v>70</v>
      </c>
      <c r="C3">
        <v>1</v>
      </c>
      <c r="D3" t="s">
        <v>93</v>
      </c>
      <c r="E3" t="s">
        <v>94</v>
      </c>
      <c r="F3" t="s">
        <v>85</v>
      </c>
      <c r="G3">
        <v>0.96767454881639303</v>
      </c>
      <c r="H3">
        <v>0</v>
      </c>
      <c r="I3" t="str">
        <f>OutputTable[[#This Row],[ProjectName]]&amp;OutputTable[[#This Row],[Name]]&amp;OutputTable[[#This Row],[Type]]&amp;OutputTable[[#This Row],[Source]]</f>
        <v>Unnamed ProjectCheckin agent.ScheduledUtilizationScheduled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0.96767454881639303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0.96767454881639303</v>
      </c>
      <c r="P3" cm="1">
        <f t="array" ref="P3">MAX(IF((OutputTable[GroupByKey]=OutputTable[[#This Row],[GroupByKey]]),(OutputTable[GroupByKey]=OutputTable[[#This Row],[GroupByKey]])*OutputTable[RecordedValue]))</f>
        <v>0.96767454881639303</v>
      </c>
    </row>
    <row r="4" spans="1:16" x14ac:dyDescent="0.25">
      <c r="A4" t="s">
        <v>67</v>
      </c>
      <c r="B4" t="s">
        <v>70</v>
      </c>
      <c r="C4">
        <v>1</v>
      </c>
      <c r="D4" t="s">
        <v>95</v>
      </c>
      <c r="E4" t="s">
        <v>96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ProjectPassenger.NumberInNumber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70</v>
      </c>
      <c r="C5">
        <v>1</v>
      </c>
      <c r="D5" t="s">
        <v>97</v>
      </c>
      <c r="E5" t="s">
        <v>98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ProjectPassenger.NumberOutNumber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70</v>
      </c>
      <c r="C6">
        <v>1</v>
      </c>
      <c r="D6" t="s">
        <v>99</v>
      </c>
      <c r="E6" t="s">
        <v>98</v>
      </c>
      <c r="F6" t="s">
        <v>100</v>
      </c>
      <c r="G6">
        <v>524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524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524</v>
      </c>
      <c r="P6" cm="1">
        <f t="array" ref="P6">MAX(IF((OutputTable[GroupByKey]=OutputTable[[#This Row],[GroupByKey]]),(OutputTable[GroupByKey]=OutputTable[[#This Row],[GroupByKey]])*OutputTable[RecordedValue]))</f>
        <v>524</v>
      </c>
    </row>
    <row r="7" spans="1:16" x14ac:dyDescent="0.25">
      <c r="A7" t="s">
        <v>67</v>
      </c>
      <c r="B7" t="s">
        <v>70</v>
      </c>
      <c r="C7">
        <v>1</v>
      </c>
      <c r="D7" t="s">
        <v>101</v>
      </c>
      <c r="E7" t="s">
        <v>96</v>
      </c>
      <c r="F7" t="s">
        <v>76</v>
      </c>
      <c r="G7">
        <v>375</v>
      </c>
      <c r="H7">
        <v>0</v>
      </c>
      <c r="I7" t="str">
        <f>OutputTable[[#This Row],[ProjectName]]&amp;OutputTable[[#This Row],[Name]]&amp;OutputTable[[#This Row],[Type]]&amp;OutputTable[[#This Row],[Source]]</f>
        <v>Unnamed ProjectType 1 Passenger.NumberInNumber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375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375</v>
      </c>
      <c r="P7" cm="1">
        <f t="array" ref="P7">MAX(IF((OutputTable[GroupByKey]=OutputTable[[#This Row],[GroupByKey]]),(OutputTable[GroupByKey]=OutputTable[[#This Row],[GroupByKey]])*OutputTable[RecordedValue]))</f>
        <v>375</v>
      </c>
    </row>
    <row r="8" spans="1:16" x14ac:dyDescent="0.25">
      <c r="A8" t="s">
        <v>67</v>
      </c>
      <c r="B8" t="s">
        <v>70</v>
      </c>
      <c r="C8">
        <v>1</v>
      </c>
      <c r="D8" t="s">
        <v>102</v>
      </c>
      <c r="E8" t="s">
        <v>98</v>
      </c>
      <c r="F8" t="s">
        <v>76</v>
      </c>
      <c r="G8">
        <v>321</v>
      </c>
      <c r="H8">
        <v>0</v>
      </c>
      <c r="I8" t="str">
        <f>OutputTable[[#This Row],[ProjectName]]&amp;OutputTable[[#This Row],[Name]]&amp;OutputTable[[#This Row],[Type]]&amp;OutputTable[[#This Row],[Source]]</f>
        <v>Unnamed ProjectType 1 Passenger.NumberOutNumber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321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321</v>
      </c>
      <c r="P8" cm="1">
        <f t="array" ref="P8">MAX(IF((OutputTable[GroupByKey]=OutputTable[[#This Row],[GroupByKey]]),(OutputTable[GroupByKey]=OutputTable[[#This Row],[GroupByKey]])*OutputTable[RecordedValue]))</f>
        <v>321</v>
      </c>
    </row>
    <row r="9" spans="1:16" x14ac:dyDescent="0.25">
      <c r="A9" t="s">
        <v>67</v>
      </c>
      <c r="B9" t="s">
        <v>70</v>
      </c>
      <c r="C9">
        <v>1</v>
      </c>
      <c r="D9" t="s">
        <v>103</v>
      </c>
      <c r="E9" t="s">
        <v>96</v>
      </c>
      <c r="F9" t="s">
        <v>76</v>
      </c>
      <c r="G9">
        <v>238</v>
      </c>
      <c r="H9">
        <v>0</v>
      </c>
      <c r="I9" t="str">
        <f>OutputTable[[#This Row],[ProjectName]]&amp;OutputTable[[#This Row],[Name]]&amp;OutputTable[[#This Row],[Type]]&amp;OutputTable[[#This Row],[Source]]</f>
        <v>Unnamed ProjectType 2 Passenger.NumberInNumber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238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238</v>
      </c>
      <c r="P9" cm="1">
        <f t="array" ref="P9">MAX(IF((OutputTable[GroupByKey]=OutputTable[[#This Row],[GroupByKey]]),(OutputTable[GroupByKey]=OutputTable[[#This Row],[GroupByKey]])*OutputTable[RecordedValue]))</f>
        <v>238</v>
      </c>
    </row>
    <row r="10" spans="1:16" x14ac:dyDescent="0.25">
      <c r="A10" t="s">
        <v>67</v>
      </c>
      <c r="B10" t="s">
        <v>70</v>
      </c>
      <c r="C10">
        <v>1</v>
      </c>
      <c r="D10" t="s">
        <v>104</v>
      </c>
      <c r="E10" t="s">
        <v>98</v>
      </c>
      <c r="F10" t="s">
        <v>76</v>
      </c>
      <c r="G10">
        <v>203</v>
      </c>
      <c r="H10">
        <v>0</v>
      </c>
      <c r="I10" t="str">
        <f>OutputTable[[#This Row],[ProjectName]]&amp;OutputTable[[#This Row],[Name]]&amp;OutputTable[[#This Row],[Type]]&amp;OutputTable[[#This Row],[Source]]</f>
        <v>Unnamed ProjectType 2 Passenger.NumberOutNumber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203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203</v>
      </c>
      <c r="P10" cm="1">
        <f t="array" ref="P10">MAX(IF((OutputTable[GroupByKey]=OutputTable[[#This Row],[GroupByKey]]),(OutputTable[GroupByKey]=OutputTable[[#This Row],[GroupByKey]])*OutputTable[RecordedValue]))</f>
        <v>203</v>
      </c>
    </row>
  </sheetData>
  <phoneticPr fontId="2" type="noConversion"/>
  <conditionalFormatting sqref="I2:P10">
    <cfRule type="expression" dxfId="3" priority="2">
      <formula>MOD(ROW(),2)=0</formula>
    </cfRule>
  </conditionalFormatting>
  <conditionalFormatting sqref="N2:N1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2026-02-04T14:37:56Z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