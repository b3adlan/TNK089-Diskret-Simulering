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filur03.it.liu.se\students\basad559\Downloads\lab2_data_files\"/>
    </mc:Choice>
  </mc:AlternateContent>
  <xr:revisionPtr revIDLastSave="0" documentId="13_ncr:1_{2EE9F87F-673B-44CE-AAE7-199A2554DC0B}" xr6:coauthVersionLast="47" xr6:coauthVersionMax="47" xr10:uidLastSave="{00000000-0000-0000-0000-000000000000}"/>
  <bookViews>
    <workbookView xWindow="-120" yWindow="-120" windowWidth="29040" windowHeight="1752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</definedName>
    <definedName name="ExternalData_1" localSheetId="4" hidden="1">CounterStatsByRep!$A$1:$G$2</definedName>
    <definedName name="ExternalData_1" localSheetId="2" hidden="1">DiscreteTimeStatsByRep!$A$1:$K$8</definedName>
    <definedName name="ExternalData_1" localSheetId="6" hidden="1">FrequencyStatsByRep!$A$1:$K$2</definedName>
    <definedName name="ExternalData_1" localSheetId="5" hidden="1">OutputStatsByRep!$A$1:$H$6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K6" i="20" s="1" a="1"/>
  <c r="K6" i="20" s="1"/>
  <c r="J2" i="20" a="1"/>
  <c r="J2" i="20" s="1"/>
  <c r="J3" i="20" a="1"/>
  <c r="J3" i="20" s="1"/>
  <c r="J4" i="20" a="1"/>
  <c r="J4" i="20" s="1"/>
  <c r="J5" i="20" a="1"/>
  <c r="J5" i="20" s="1"/>
  <c r="J6" i="20" a="1"/>
  <c r="J6" i="20"/>
  <c r="K2" i="20" a="1"/>
  <c r="K2" i="20" s="1"/>
  <c r="K3" i="20" a="1"/>
  <c r="K3" i="20" s="1"/>
  <c r="K4" i="20" a="1"/>
  <c r="K4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P4" i="20" a="1"/>
  <c r="P4" i="20" s="1"/>
  <c r="P5" i="20" a="1"/>
  <c r="P5" i="20" s="1"/>
  <c r="P6" i="20" a="1"/>
  <c r="P6" i="20" s="1"/>
  <c r="M2" i="18"/>
  <c r="M3" i="18"/>
  <c r="T2" i="18" s="1" a="1"/>
  <c r="T2" i="18" s="1"/>
  <c r="M4" i="18"/>
  <c r="M5" i="18"/>
  <c r="M6" i="18"/>
  <c r="P6" i="18" s="1" a="1"/>
  <c r="P6" i="18" s="1"/>
  <c r="N2" i="18" a="1"/>
  <c r="N2" i="18"/>
  <c r="N3" i="18" a="1"/>
  <c r="N3" i="18" s="1"/>
  <c r="N4" i="18" a="1"/>
  <c r="N4" i="18"/>
  <c r="N5" i="18" a="1"/>
  <c r="N5" i="18"/>
  <c r="N6" i="18" a="1"/>
  <c r="N6" i="18"/>
  <c r="O3" i="18" a="1"/>
  <c r="O3" i="18" s="1"/>
  <c r="P2" i="18" a="1"/>
  <c r="P2" i="18" s="1"/>
  <c r="P3" i="18" a="1"/>
  <c r="P3" i="18" s="1"/>
  <c r="P4" i="18" a="1"/>
  <c r="P4" i="18" s="1"/>
  <c r="P5" i="18" a="1"/>
  <c r="P5" i="18" s="1"/>
  <c r="Q2" i="18" a="1"/>
  <c r="Q2" i="18"/>
  <c r="Q3" i="18" a="1"/>
  <c r="Q3" i="18" s="1"/>
  <c r="Q4" i="18" a="1"/>
  <c r="Q4" i="18" s="1"/>
  <c r="Q5" i="18" a="1"/>
  <c r="Q5" i="18" s="1"/>
  <c r="Q6" i="18" a="1"/>
  <c r="Q6" i="18" s="1"/>
  <c r="S3" i="18" a="1"/>
  <c r="S3" i="18" s="1"/>
  <c r="S4" i="18" a="1"/>
  <c r="S4" i="18" s="1"/>
  <c r="S5" i="18" a="1"/>
  <c r="S5" i="18" s="1"/>
  <c r="S6" i="18" a="1"/>
  <c r="S6" i="18" s="1"/>
  <c r="T5" i="18" a="1"/>
  <c r="T5" i="18" s="1"/>
  <c r="U2" i="18"/>
  <c r="U4" i="18"/>
  <c r="U5" i="18"/>
  <c r="U6" i="18"/>
  <c r="L2" i="17"/>
  <c r="X7" i="17" s="1" a="1"/>
  <c r="X7" i="17" s="1"/>
  <c r="L3" i="17"/>
  <c r="L4" i="17"/>
  <c r="R4" i="17" s="1" a="1"/>
  <c r="R4" i="17" s="1"/>
  <c r="L5" i="17"/>
  <c r="L6" i="17"/>
  <c r="L7" i="17"/>
  <c r="L8" i="17"/>
  <c r="M2" i="17" a="1"/>
  <c r="M2" i="17" s="1"/>
  <c r="M3" i="17" a="1"/>
  <c r="M3" i="17"/>
  <c r="W3" i="17" s="1"/>
  <c r="M4" i="17" a="1"/>
  <c r="M4" i="17" s="1"/>
  <c r="W4" i="17" s="1"/>
  <c r="M5" i="17" a="1"/>
  <c r="M5" i="17"/>
  <c r="W5" i="17" s="1"/>
  <c r="M6" i="17" a="1"/>
  <c r="M6" i="17" s="1"/>
  <c r="W6" i="17" s="1"/>
  <c r="M7" i="17" a="1"/>
  <c r="M7" i="17" s="1"/>
  <c r="W7" i="17" s="1"/>
  <c r="M8" i="17" a="1"/>
  <c r="M8" i="17" s="1"/>
  <c r="N5" i="17" a="1"/>
  <c r="N5" i="17" s="1"/>
  <c r="P2" i="17" a="1"/>
  <c r="P2" i="17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R2" i="17" a="1"/>
  <c r="R2" i="17" s="1"/>
  <c r="R3" i="17" a="1"/>
  <c r="R3" i="17" s="1"/>
  <c r="S6" i="17" a="1"/>
  <c r="S6" i="17" s="1"/>
  <c r="S7" i="17" a="1"/>
  <c r="S7" i="17" s="1"/>
  <c r="T2" i="17" a="1"/>
  <c r="T2" i="17" s="1"/>
  <c r="T6" i="17" a="1"/>
  <c r="T6" i="17" s="1"/>
  <c r="T8" i="17" a="1"/>
  <c r="T8" i="17" s="1"/>
  <c r="U3" i="17" a="1"/>
  <c r="U3" i="17" s="1"/>
  <c r="U4" i="17" a="1"/>
  <c r="U4" i="17" s="1"/>
  <c r="U5" i="17" a="1"/>
  <c r="U5" i="17" s="1"/>
  <c r="X2" i="17" a="1"/>
  <c r="X2" i="17" s="1"/>
  <c r="G2" i="16"/>
  <c r="P2" i="20" l="1" a="1"/>
  <c r="P2" i="20" s="1"/>
  <c r="N6" i="20"/>
  <c r="N2" i="20"/>
  <c r="N5" i="20"/>
  <c r="N4" i="20"/>
  <c r="N3" i="20"/>
  <c r="P3" i="20" a="1"/>
  <c r="P3" i="20" s="1"/>
  <c r="K5" i="20" a="1"/>
  <c r="K5" i="20" s="1"/>
  <c r="O4" i="18" a="1"/>
  <c r="O4" i="18" s="1"/>
  <c r="S2" i="18" a="1"/>
  <c r="S2" i="18" s="1"/>
  <c r="O5" i="18" a="1"/>
  <c r="O5" i="18" s="1"/>
  <c r="R6" i="18"/>
  <c r="R2" i="18"/>
  <c r="R4" i="18"/>
  <c r="U3" i="18"/>
  <c r="R3" i="18"/>
  <c r="R5" i="18"/>
  <c r="O2" i="18" a="1"/>
  <c r="O2" i="18" s="1"/>
  <c r="T6" i="18" a="1"/>
  <c r="T6" i="18" s="1"/>
  <c r="T4" i="18" a="1"/>
  <c r="T4" i="18" s="1"/>
  <c r="O6" i="18" a="1"/>
  <c r="O6" i="18" s="1"/>
  <c r="T3" i="18" a="1"/>
  <c r="T3" i="18" s="1"/>
  <c r="S8" i="17" a="1"/>
  <c r="S8" i="17" s="1"/>
  <c r="X8" i="17" a="1"/>
  <c r="X8" i="17" s="1"/>
  <c r="R8" i="17" a="1"/>
  <c r="R8" i="17" s="1"/>
  <c r="X5" i="17" a="1"/>
  <c r="X5" i="17" s="1"/>
  <c r="R6" i="17" a="1"/>
  <c r="R6" i="17" s="1"/>
  <c r="X4" i="17" a="1"/>
  <c r="X4" i="17" s="1"/>
  <c r="R5" i="17" a="1"/>
  <c r="R5" i="17" s="1"/>
  <c r="V8" i="17" a="1"/>
  <c r="V8" i="17" s="1"/>
  <c r="V4" i="17" a="1"/>
  <c r="V4" i="17" s="1"/>
  <c r="U2" i="17" a="1"/>
  <c r="U2" i="17" s="1"/>
  <c r="X3" i="17" a="1"/>
  <c r="X3" i="17" s="1"/>
  <c r="Y3" i="17" s="1"/>
  <c r="S5" i="17" a="1"/>
  <c r="S5" i="17" s="1"/>
  <c r="R7" i="17" a="1"/>
  <c r="R7" i="17" s="1"/>
  <c r="V7" i="17" a="1"/>
  <c r="V7" i="17" s="1"/>
  <c r="O4" i="17" a="1"/>
  <c r="O4" i="17" s="1"/>
  <c r="V5" i="17" a="1"/>
  <c r="V5" i="17" s="1"/>
  <c r="N8" i="17" a="1"/>
  <c r="N8" i="17" s="1"/>
  <c r="V6" i="17" a="1"/>
  <c r="V6" i="17" s="1"/>
  <c r="O8" i="17" a="1"/>
  <c r="O8" i="17" s="1"/>
  <c r="T3" i="17" a="1"/>
  <c r="T3" i="17" s="1"/>
  <c r="N7" i="17" a="1"/>
  <c r="N7" i="17" s="1"/>
  <c r="N6" i="17" a="1"/>
  <c r="N6" i="17" s="1"/>
  <c r="T4" i="17" a="1"/>
  <c r="T4" i="17" s="1"/>
  <c r="W8" i="17"/>
  <c r="Y8" i="17"/>
  <c r="W2" i="17"/>
  <c r="Y2" i="17"/>
  <c r="O3" i="17" a="1"/>
  <c r="O3" i="17" s="1"/>
  <c r="X6" i="17" a="1"/>
  <c r="X6" i="17" s="1"/>
  <c r="Y6" i="17" s="1"/>
  <c r="Q6" i="17" s="1"/>
  <c r="O2" i="17" a="1"/>
  <c r="O2" i="17" s="1"/>
  <c r="V3" i="17" a="1"/>
  <c r="V3" i="17" s="1"/>
  <c r="T7" i="17" a="1"/>
  <c r="T7" i="17" s="1"/>
  <c r="S4" i="17" a="1"/>
  <c r="S4" i="17" s="1"/>
  <c r="Y7" i="17"/>
  <c r="O7" i="17" a="1"/>
  <c r="O7" i="17" s="1"/>
  <c r="Y5" i="17"/>
  <c r="U8" i="17" a="1"/>
  <c r="U8" i="17" s="1"/>
  <c r="S2" i="17" a="1"/>
  <c r="S2" i="17" s="1"/>
  <c r="S3" i="17" a="1"/>
  <c r="S3" i="17" s="1"/>
  <c r="N3" i="17" a="1"/>
  <c r="N3" i="17" s="1"/>
  <c r="V2" i="17" a="1"/>
  <c r="V2" i="17" s="1"/>
  <c r="N4" i="17" a="1"/>
  <c r="N4" i="17" s="1"/>
  <c r="T5" i="17" a="1"/>
  <c r="T5" i="17" s="1"/>
  <c r="Y4" i="17"/>
  <c r="O6" i="17" a="1"/>
  <c r="O6" i="17" s="1"/>
  <c r="U7" i="17" a="1"/>
  <c r="U7" i="17" s="1"/>
  <c r="O5" i="17" a="1"/>
  <c r="O5" i="17" s="1"/>
  <c r="N2" i="17" a="1"/>
  <c r="N2" i="17" s="1"/>
  <c r="U6" i="17" a="1"/>
  <c r="U6" i="17" s="1"/>
  <c r="Q4" i="17" l="1"/>
  <c r="Q8" i="17"/>
  <c r="Q5" i="17"/>
  <c r="Q2" i="17"/>
  <c r="Q7" i="17"/>
  <c r="Q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\\filur03.it.liu.se\students\basad559\downloads\lab2_data_files\team04_uppgift2_1a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\\filur03.it.liu.se\students\basad559\downloads\lab2_data_files\team04_uppgift2_1a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\\filur03.it.liu.se\students\basad559\downloads\lab2_data_files\team04_uppgift2_1a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\\filur03.it.liu.se\students\basad559\downloads\lab2_data_files\team04_uppgift2_1a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\\filur03.it.liu.se\students\basad559\downloads\lab2_data_files\team04_uppgift2_1a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\\filur03.it.liu.se\students\basad559\downloads\lab2_data_files\team04_uppgift2_1a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<sst xmlns="http://schemas.openxmlformats.org/spreadsheetml/2006/main" count="297" uniqueCount="99">
  <si>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</si>
  <si>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</si>
  <si>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</si>
  <si>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</si>
  <si>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</si>
  <si>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</si>
  <si>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</si>
  <si>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</si>
  <si>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</si>
  <si>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</si>
  <si>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</si>
  <si>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</si>
  <si>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</si>
  <si>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</si>
  <si>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</si>
  <si>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</si>
  <si>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</si>
  <si>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</si>
  <si>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</si>
  <si>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</si>
  <si>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</si>
  <si>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</si>
  <si>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</si>
  <si>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</si>
  <si>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</si>
  <si>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</si>
  <si>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</si>
  <si>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</si>
  <si>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</si>
  <si>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</si>
  <si>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</si>
  <si>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</si>
  <si>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</si>
  <si>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</si>
  <si>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</si>
  <si>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</si>
  <si>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</si>
  <si>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</si>
  <si>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</si>
  <si>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</si>
  <si>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</si>
  <si>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</si>
  <si>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</si>
  <si>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</si>
  <si>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</si>
  <si>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</si>
  <si>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</si>
  <si>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</si>
  <si>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</si>
  <si>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</si>
  <si>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</si>
  <si>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</si>
  <si>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</si>
  <si>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</si>
  <si>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</si>
  <si>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</si>
  <si>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</si>
  <si>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</si>
  <si>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</si>
  <si>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</si>
  <si>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</si>
  <si>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</si>
  <si>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</si>
  <si>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</si>
  <si>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</si>
  <si>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</si>
  <si>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</si>
  <si>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</si>
  <si>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</si>
  <si>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\\filur03.it.liu.se\students\basad559\Downloads\lab2_data_files\team04_uppgift2_1a.p</t>
  </si>
  <si>
    <t>2026-02-04 14:22:01</t>
  </si>
  <si>
    <t>Checkin desk.Queue</t>
  </si>
  <si>
    <t>Waiting Time</t>
  </si>
  <si>
    <t>Queue</t>
  </si>
  <si>
    <t>Passenger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</si>
  <si>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</si>
  <si>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</si>
  <si>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</si>
  <si>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</si>
  <si>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</si>
  <si>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</si>
  <si>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</si>
  <si>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Checkin agent</t>
  </si>
  <si>
    <t>Instantaneous Utilization</t>
  </si>
  <si>
    <t>Resource</t>
  </si>
  <si>
    <t>Number Busy</t>
  </si>
  <si>
    <t>Number Scheduled</t>
  </si>
  <si>
    <t>Number Waiting</t>
  </si>
  <si>
    <t>WIP</t>
  </si>
  <si>
    <t>Checkin agent.NumberSeized</t>
  </si>
  <si>
    <t>Total Number Seized</t>
  </si>
  <si>
    <t>Checkin agent.ScheduledUtilization</t>
  </si>
  <si>
    <t>Scheduled Utilization</t>
  </si>
  <si>
    <t>Passenger.NumberIn</t>
  </si>
  <si>
    <t>Number In</t>
  </si>
  <si>
    <t>Passenger.NumberOut</t>
  </si>
  <si>
    <t>Number 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</si>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</sst>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7.598763194444" createdVersion="7" refreshedVersion="8" minRefreshableVersion="3" recordCount="7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1">
        <s v="Checkin desk.Queue"/>
        <s v="Passenger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21.071695685924599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6.6503567497145504"/>
    </cacheField>
    <cacheField name="Maximum" numFmtId="0">
      <sharedItems containsSemiMixedTypes="0" containsString="0" containsNumber="1" minValue="0" maxValue="50.3920873838888"/>
    </cacheField>
    <cacheField name="NumberObservations" numFmtId="0">
      <sharedItems containsSemiMixedTypes="0" containsString="0" containsNumber="1" containsInteger="1" minValue="613" maxValue="621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21.0716956859245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21.071695685924599"/>
    </cacheField>
    <cacheField name="MaximumAverage" numFmtId="0">
      <sharedItems containsSemiMixedTypes="0" containsString="0" containsNumber="1" minValue="0" maxValue="21.071695685924599"/>
    </cacheField>
    <cacheField name="OverallMinimum" numFmtId="0">
      <sharedItems containsSemiMixedTypes="0" containsString="0" containsNumber="1" minValue="0" maxValue="6.6503567497145504"/>
    </cacheField>
    <cacheField name="OverallMaximum" numFmtId="0">
      <sharedItems containsSemiMixedTypes="0" containsString="0" containsNumber="1" minValue="0" maxValue="50.3920873838888"/>
    </cacheField>
    <cacheField name="AverageNumberObservations" numFmtId="0">
      <sharedItems containsSemiMixedTypes="0" containsString="0" containsNumber="1" containsInteger="1" minValue="613" maxValue="621"/>
    </cacheField>
    <cacheField name="SummaryHalfWidth" numFmtId="0">
      <sharedItems containsSemiMixedTypes="0" containsString="0" containsNumber="1" minValue="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7.598763310183" createdVersion="7" refreshedVersion="8" minRefreshableVersion="3" recordCount="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3">
        <s v="Checkin agent.NumberSeized"/>
        <s v="Checkin agent.ScheduledUtilization"/>
        <s v="Passenger.NumberIn"/>
        <s v="Passenger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90776359368131798" maxValue="62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90776359368131798" maxValue="622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90776359368131798" maxValue="622"/>
    </cacheField>
    <cacheField name="Maximum" numFmtId="0">
      <sharedItems containsSemiMixedTypes="0" containsString="0" containsNumber="1" minValue="0.90776359368131798" maxValue="6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7.598763310183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7.598763425929" createdVersion="7" refreshedVersion="8" minRefreshableVersion="3" recordCount="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7">
        <s v="Checkin agent"/>
        <s v="Checkin desk.Queue"/>
        <s v="Passenger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.90776359368131698" maxValue="13.538778131246801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5"/>
    </cacheField>
    <cacheField name="Maximum" numFmtId="0">
      <sharedItems containsSemiMixedTypes="0" containsString="0" containsNumber="1" containsInteger="1" minValue="1" maxValue="34"/>
    </cacheField>
    <cacheField name="LastRecordedValue" numFmtId="0">
      <sharedItems containsSemiMixedTypes="0" containsString="0" containsNumber="1" containsInteger="1" minValue="0" maxValue="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.90776359368131698" maxValue="13.538778131246801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.90776359368131698" maxValue="13.538778131246801"/>
    </cacheField>
    <cacheField name="MaximumAverage" numFmtId="0">
      <sharedItems containsSemiMixedTypes="0" containsString="0" containsNumber="1" minValue="0.90776359368131698" maxValue="13.538778131246801"/>
    </cacheField>
    <cacheField name="SummaryHalfWidth" numFmtId="0">
      <sharedItems containsSemiMixedTypes="0" containsString="0" containsNumber="1" containsInteger="1" minValue="2E+20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7.598763657406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6-02-04 14:22:01"/>
    <n v="1"/>
    <x v="0"/>
    <x v="0"/>
    <x v="0"/>
    <n v="8.9642111652634302"/>
    <n v="3E+20"/>
    <n v="0"/>
    <n v="35.522375967822398"/>
    <n v="621"/>
    <s v="Unnamed ProjectCheckin desk.QueueWaiting TimeQueue"/>
    <n v="1"/>
    <n v="8.9642111652634302"/>
    <n v="0"/>
    <n v="0.95"/>
    <n v="4E+20"/>
    <n v="8.9642111652634302"/>
    <n v="8.9642111652634302"/>
    <n v="0"/>
    <n v="35.522375967822398"/>
    <n v="621"/>
    <n v="3E+20"/>
    <n v="1"/>
    <n v="1"/>
  </r>
  <r>
    <x v="0"/>
    <s v="2026-02-04 14:22:01"/>
    <n v="1"/>
    <x v="1"/>
    <x v="1"/>
    <x v="1"/>
    <n v="0"/>
    <n v="0"/>
    <n v="0"/>
    <n v="0"/>
    <n v="613"/>
    <s v="Unnamed ProjectPassengerNVA TimeEntity"/>
    <n v="1"/>
    <n v="0"/>
    <n v="0"/>
    <n v="0.95"/>
    <n v="4E+20"/>
    <n v="0"/>
    <n v="0"/>
    <n v="0"/>
    <n v="0"/>
    <n v="613"/>
    <n v="0"/>
    <n v="1"/>
    <n v="1"/>
  </r>
  <r>
    <x v="0"/>
    <s v="2026-02-04 14:22:01"/>
    <n v="1"/>
    <x v="1"/>
    <x v="2"/>
    <x v="1"/>
    <n v="0"/>
    <n v="0"/>
    <n v="0"/>
    <n v="0"/>
    <n v="613"/>
    <s v="Unnamed ProjectPassengerOther TimeEntity"/>
    <n v="1"/>
    <n v="0"/>
    <n v="0"/>
    <n v="0.95"/>
    <n v="4E+20"/>
    <n v="0"/>
    <n v="0"/>
    <n v="0"/>
    <n v="0"/>
    <n v="613"/>
    <n v="0"/>
    <n v="1"/>
    <n v="1"/>
  </r>
  <r>
    <x v="0"/>
    <s v="2026-02-04 14:22:01"/>
    <n v="1"/>
    <x v="1"/>
    <x v="3"/>
    <x v="1"/>
    <n v="21.071695685924599"/>
    <n v="3E+20"/>
    <n v="6.6503567497145504"/>
    <n v="50.3920873838888"/>
    <n v="613"/>
    <s v="Unnamed ProjectPassengerTotal TimeEntity"/>
    <n v="1"/>
    <n v="21.071695685924599"/>
    <n v="0"/>
    <n v="0.95"/>
    <n v="4E+20"/>
    <n v="21.071695685924599"/>
    <n v="21.071695685924599"/>
    <n v="6.6503567497145504"/>
    <n v="50.3920873838888"/>
    <n v="613"/>
    <n v="3E+20"/>
    <n v="1"/>
    <n v="1"/>
  </r>
  <r>
    <x v="0"/>
    <s v="2026-02-04 14:22:01"/>
    <n v="1"/>
    <x v="1"/>
    <x v="4"/>
    <x v="1"/>
    <n v="4.9697565153940397"/>
    <n v="2.81156780994858E-2"/>
    <n v="4.0075637431771201"/>
    <n v="5.9498782513021498"/>
    <n v="613"/>
    <s v="Unnamed ProjectPassengerTransfer TimeEntity"/>
    <n v="1"/>
    <n v="4.9697565153940397"/>
    <n v="0"/>
    <n v="0.95"/>
    <n v="4E+20"/>
    <n v="4.9697565153940397"/>
    <n v="4.9697565153940397"/>
    <n v="4.0075637431771201"/>
    <n v="5.9498782513021498"/>
    <n v="613"/>
    <n v="2.81156780994858E-2"/>
    <n v="1"/>
    <n v="1"/>
  </r>
  <r>
    <x v="0"/>
    <s v="2026-02-04 14:22:01"/>
    <n v="1"/>
    <x v="1"/>
    <x v="5"/>
    <x v="1"/>
    <n v="7.0567373939018303"/>
    <n v="0.150207799396023"/>
    <n v="2.32814185354255"/>
    <n v="12.391287503032601"/>
    <n v="613"/>
    <s v="Unnamed ProjectPassengerVA TimeEntity"/>
    <n v="1"/>
    <n v="7.0567373939018303"/>
    <n v="0"/>
    <n v="0.95"/>
    <n v="4E+20"/>
    <n v="7.0567373939018303"/>
    <n v="7.0567373939018303"/>
    <n v="2.32814185354255"/>
    <n v="12.391287503032601"/>
    <n v="613"/>
    <n v="0.150207799396023"/>
    <n v="1"/>
    <n v="1"/>
  </r>
  <r>
    <x v="0"/>
    <s v="2026-02-04 14:22:01"/>
    <n v="1"/>
    <x v="1"/>
    <x v="6"/>
    <x v="1"/>
    <n v="9.0452017766287405"/>
    <n v="3E+20"/>
    <n v="0"/>
    <n v="35.522375967822398"/>
    <n v="613"/>
    <s v="Unnamed ProjectPassengerWait TimeEntity"/>
    <n v="1"/>
    <n v="9.0452017766287405"/>
    <n v="0"/>
    <n v="0.95"/>
    <n v="4E+20"/>
    <n v="9.0452017766287405"/>
    <n v="9.0452017766287405"/>
    <n v="0"/>
    <n v="35.522375967822398"/>
    <n v="613"/>
    <n v="3E+20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6-02-04 14:22:01"/>
    <n v="1"/>
    <x v="0"/>
    <x v="0"/>
    <x v="0"/>
    <n v="621"/>
    <n v="0"/>
    <s v="Unnamed ProjectCheckin agent.NumberSeizedTotal Number SeizedResource"/>
    <n v="1"/>
    <n v="621"/>
    <n v="0"/>
    <n v="0.95"/>
    <n v="4E+20"/>
    <n v="621"/>
    <n v="621"/>
  </r>
  <r>
    <x v="0"/>
    <s v="2026-02-04 14:22:01"/>
    <n v="1"/>
    <x v="1"/>
    <x v="1"/>
    <x v="0"/>
    <n v="0.90776359368131798"/>
    <n v="0"/>
    <s v="Unnamed ProjectCheckin agent.ScheduledUtilizationScheduled UtilizationResource"/>
    <n v="1"/>
    <n v="0.90776359368131798"/>
    <n v="0"/>
    <n v="0.95"/>
    <n v="4E+20"/>
    <n v="0.90776359368131798"/>
    <n v="0.90776359368131798"/>
  </r>
  <r>
    <x v="0"/>
    <s v="2026-02-04 14:22:01"/>
    <n v="1"/>
    <x v="2"/>
    <x v="2"/>
    <x v="1"/>
    <n v="622"/>
    <n v="0"/>
    <s v="Unnamed ProjectPassenger.NumberInNumber InEntity"/>
    <n v="1"/>
    <n v="622"/>
    <n v="0"/>
    <n v="0.95"/>
    <n v="4E+20"/>
    <n v="622"/>
    <n v="622"/>
  </r>
  <r>
    <x v="0"/>
    <s v="2026-02-04 14:22:01"/>
    <n v="1"/>
    <x v="3"/>
    <x v="3"/>
    <x v="1"/>
    <n v="613"/>
    <n v="0"/>
    <s v="Unnamed ProjectPassenger.NumberOutNumber OutEntity"/>
    <n v="1"/>
    <n v="613"/>
    <n v="0"/>
    <n v="0.95"/>
    <n v="4E+20"/>
    <n v="613"/>
    <n v="613"/>
  </r>
  <r>
    <x v="0"/>
    <s v="2026-02-04 14:22:01"/>
    <n v="1"/>
    <x v="4"/>
    <x v="3"/>
    <x v="2"/>
    <n v="613"/>
    <n v="0"/>
    <s v="Unnamed ProjectSystem.NumberOutNumber OutSystem"/>
    <n v="1"/>
    <n v="613"/>
    <n v="0"/>
    <n v="0.95"/>
    <n v="4E+20"/>
    <n v="613"/>
    <n v="61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6-02-04 14:22:01"/>
    <n v="1"/>
    <x v="0"/>
    <x v="0"/>
    <x v="0"/>
    <n v="0.90776359368131698"/>
    <n v="2E+20"/>
    <n v="0"/>
    <n v="1"/>
    <n v="1"/>
    <n v="0"/>
    <s v="Unnamed ProjectCheckin agentInstantaneous UtilizationResource"/>
    <n v="1"/>
    <n v="0.90776359368131698"/>
    <n v="0"/>
    <n v="0.95"/>
    <n v="4E+20"/>
    <n v="0.90776359368131698"/>
    <n v="0.90776359368131698"/>
    <n v="2E+20"/>
  </r>
  <r>
    <x v="0"/>
    <s v="2026-02-04 14:22:01"/>
    <n v="1"/>
    <x v="0"/>
    <x v="1"/>
    <x v="0"/>
    <n v="4.5388179684065904"/>
    <n v="2E+20"/>
    <n v="0"/>
    <n v="5"/>
    <n v="5"/>
    <n v="0"/>
    <s v="Unnamed ProjectCheckin agentNumber BusyResource"/>
    <n v="1"/>
    <n v="4.5388179684065904"/>
    <n v="0"/>
    <n v="0.95"/>
    <n v="4E+20"/>
    <n v="4.5388179684065904"/>
    <n v="4.5388179684065904"/>
    <n v="2E+20"/>
  </r>
  <r>
    <x v="0"/>
    <s v="2026-02-04 14:22:01"/>
    <n v="1"/>
    <x v="0"/>
    <x v="2"/>
    <x v="0"/>
    <n v="5"/>
    <n v="2E+20"/>
    <n v="5"/>
    <n v="5"/>
    <n v="5"/>
    <n v="0"/>
    <s v="Unnamed ProjectCheckin agentNumber ScheduledResource"/>
    <n v="1"/>
    <n v="5"/>
    <n v="0"/>
    <n v="0.95"/>
    <n v="4E+20"/>
    <n v="5"/>
    <n v="5"/>
    <n v="2E+20"/>
  </r>
  <r>
    <x v="0"/>
    <s v="2026-02-04 14:22:01"/>
    <n v="1"/>
    <x v="1"/>
    <x v="3"/>
    <x v="1"/>
    <n v="5.7987240975297798"/>
    <n v="3E+20"/>
    <n v="0"/>
    <n v="25"/>
    <n v="0"/>
    <n v="0"/>
    <s v="Unnamed ProjectCheckin desk.QueueNumber WaitingQueue"/>
    <n v="1"/>
    <n v="5.7987240975297798"/>
    <n v="0"/>
    <n v="0.95"/>
    <n v="4E+20"/>
    <n v="5.7987240975297798"/>
    <n v="5.7987240975297798"/>
    <n v="3E+20"/>
  </r>
  <r>
    <x v="0"/>
    <s v="2026-02-04 14:22:01"/>
    <n v="1"/>
    <x v="2"/>
    <x v="4"/>
    <x v="2"/>
    <n v="13.538778131246801"/>
    <n v="3E+20"/>
    <n v="0"/>
    <n v="34"/>
    <n v="9"/>
    <n v="0"/>
    <s v="Unnamed ProjectPassengerWIPEntity"/>
    <n v="1"/>
    <n v="13.538778131246801"/>
    <n v="0"/>
    <n v="0.95"/>
    <n v="4E+20"/>
    <n v="13.538778131246801"/>
    <n v="13.538778131246801"/>
    <n v="3E+2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7"/>
      <x v="1"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8" tableType="queryTable" totalsRowShown="0">
  <autoFilter ref="A1:Y8" xr:uid="{C3D003CA-1AFF-426C-A03D-D3AF5760DF1A}"/>
  <sortState xmlns:xlrd2="http://schemas.microsoft.com/office/spreadsheetml/2017/richdata2" ref="A2:Y8">
    <sortCondition ref="D1:D8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" tableType="queryTable" totalsRowShown="0">
  <autoFilter ref="A1:U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6" tableType="queryTable" totalsRowShown="0">
  <autoFilter ref="A1:P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6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3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2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1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0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9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3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37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36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4" sqref="B4"/>
    </sheetView>
  </sheetViews>
  <sheetFormatPr defaultRowHeight="15" x14ac:dyDescent="0.25"/>
  <cols>
    <col min="1" max="1" width="16.425781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69</v>
      </c>
      <c r="C2" t="s">
        <v>70</v>
      </c>
      <c r="D2">
        <v>2</v>
      </c>
      <c r="E2">
        <v>1</v>
      </c>
      <c r="F2">
        <v>960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zoomScale="55" zoomScaleNormal="55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1.140625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71</v>
      </c>
      <c r="C3" t="s">
        <v>72</v>
      </c>
      <c r="D3" t="s">
        <v>73</v>
      </c>
      <c r="E3" s="5">
        <v>8.9642111652634302</v>
      </c>
      <c r="F3" s="5">
        <v>1</v>
      </c>
      <c r="G3" s="5">
        <v>3E+20</v>
      </c>
      <c r="H3" s="5">
        <v>0</v>
      </c>
      <c r="I3" s="5">
        <v>8.9642111652634302</v>
      </c>
      <c r="J3" s="5">
        <v>8.9642111652634302</v>
      </c>
      <c r="K3" s="5">
        <v>0</v>
      </c>
      <c r="L3" s="5">
        <v>35.522375967822398</v>
      </c>
      <c r="M3" s="5">
        <v>621</v>
      </c>
      <c r="O3" t="s">
        <v>67</v>
      </c>
      <c r="P3" t="s">
        <v>82</v>
      </c>
      <c r="Q3" t="s">
        <v>83</v>
      </c>
      <c r="R3" t="s">
        <v>84</v>
      </c>
      <c r="S3" s="5">
        <v>0.90776359368131698</v>
      </c>
      <c r="T3" s="5">
        <v>2E+20</v>
      </c>
      <c r="U3" s="5">
        <v>0</v>
      </c>
      <c r="V3" s="5">
        <v>0.90776359368131698</v>
      </c>
      <c r="W3" s="5">
        <v>0.90776359368131698</v>
      </c>
      <c r="X3" s="5">
        <v>0</v>
      </c>
      <c r="Y3" s="5">
        <v>1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97</v>
      </c>
      <c r="AM3" t="s">
        <v>96</v>
      </c>
      <c r="AN3" t="s">
        <v>98</v>
      </c>
      <c r="AO3" s="5">
        <v>613</v>
      </c>
      <c r="AP3" s="5">
        <v>4E+20</v>
      </c>
      <c r="AQ3" s="5">
        <v>0</v>
      </c>
      <c r="AR3" s="5">
        <v>613</v>
      </c>
      <c r="AS3" s="5">
        <v>613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B4" t="s">
        <v>74</v>
      </c>
      <c r="C4" t="s">
        <v>75</v>
      </c>
      <c r="D4" t="s">
        <v>76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613</v>
      </c>
      <c r="Q4" t="s">
        <v>85</v>
      </c>
      <c r="R4" t="s">
        <v>84</v>
      </c>
      <c r="S4" s="5">
        <v>4.5388179684065904</v>
      </c>
      <c r="T4" s="5">
        <v>2E+20</v>
      </c>
      <c r="U4" s="5">
        <v>0</v>
      </c>
      <c r="V4" s="5">
        <v>4.5388179684065904</v>
      </c>
      <c r="W4" s="5">
        <v>4.5388179684065904</v>
      </c>
      <c r="X4" s="5">
        <v>0</v>
      </c>
      <c r="Y4" s="5">
        <v>5</v>
      </c>
      <c r="AL4" t="s">
        <v>89</v>
      </c>
      <c r="AM4" t="s">
        <v>90</v>
      </c>
      <c r="AN4" t="s">
        <v>84</v>
      </c>
      <c r="AO4" s="5">
        <v>621</v>
      </c>
      <c r="AP4" s="5">
        <v>4E+20</v>
      </c>
      <c r="AQ4" s="5">
        <v>0</v>
      </c>
      <c r="AR4" s="5">
        <v>621</v>
      </c>
      <c r="AS4" s="5">
        <v>621</v>
      </c>
    </row>
    <row r="5" spans="1:52" x14ac:dyDescent="0.25">
      <c r="C5" t="s">
        <v>77</v>
      </c>
      <c r="D5" t="s">
        <v>76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613</v>
      </c>
      <c r="Q5" t="s">
        <v>86</v>
      </c>
      <c r="R5" t="s">
        <v>84</v>
      </c>
      <c r="S5" s="5">
        <v>5</v>
      </c>
      <c r="T5" s="5">
        <v>2E+20</v>
      </c>
      <c r="U5" s="5">
        <v>0</v>
      </c>
      <c r="V5" s="5">
        <v>5</v>
      </c>
      <c r="W5" s="5">
        <v>5</v>
      </c>
      <c r="X5" s="5">
        <v>5</v>
      </c>
      <c r="Y5" s="5">
        <v>5</v>
      </c>
      <c r="AL5" t="s">
        <v>91</v>
      </c>
      <c r="AM5" t="s">
        <v>92</v>
      </c>
      <c r="AN5" t="s">
        <v>84</v>
      </c>
      <c r="AO5" s="5">
        <v>0.90776359368131798</v>
      </c>
      <c r="AP5" s="5">
        <v>4E+20</v>
      </c>
      <c r="AQ5" s="5">
        <v>0</v>
      </c>
      <c r="AR5" s="5">
        <v>0.90776359368131798</v>
      </c>
      <c r="AS5" s="5">
        <v>0.90776359368131798</v>
      </c>
    </row>
    <row r="6" spans="1:52" x14ac:dyDescent="0.25">
      <c r="C6" t="s">
        <v>78</v>
      </c>
      <c r="D6" t="s">
        <v>76</v>
      </c>
      <c r="E6" s="5">
        <v>21.071695685924599</v>
      </c>
      <c r="F6" s="5">
        <v>1</v>
      </c>
      <c r="G6" s="5">
        <v>3E+20</v>
      </c>
      <c r="H6" s="5">
        <v>0</v>
      </c>
      <c r="I6" s="5">
        <v>21.071695685924599</v>
      </c>
      <c r="J6" s="5">
        <v>21.071695685924599</v>
      </c>
      <c r="K6" s="5">
        <v>6.6503567497145504</v>
      </c>
      <c r="L6" s="5">
        <v>50.3920873838888</v>
      </c>
      <c r="M6" s="5">
        <v>613</v>
      </c>
      <c r="P6" t="s">
        <v>71</v>
      </c>
      <c r="Q6" t="s">
        <v>87</v>
      </c>
      <c r="R6" t="s">
        <v>73</v>
      </c>
      <c r="S6" s="5">
        <v>5.7987240975297798</v>
      </c>
      <c r="T6" s="5">
        <v>3E+20</v>
      </c>
      <c r="U6" s="5">
        <v>0</v>
      </c>
      <c r="V6" s="5">
        <v>5.7987240975297798</v>
      </c>
      <c r="W6" s="5">
        <v>5.7987240975297798</v>
      </c>
      <c r="X6" s="5">
        <v>0</v>
      </c>
      <c r="Y6" s="5">
        <v>25</v>
      </c>
      <c r="AL6" t="s">
        <v>93</v>
      </c>
      <c r="AM6" t="s">
        <v>94</v>
      </c>
      <c r="AN6" t="s">
        <v>76</v>
      </c>
      <c r="AO6" s="5">
        <v>622</v>
      </c>
      <c r="AP6" s="5">
        <v>4E+20</v>
      </c>
      <c r="AQ6" s="5">
        <v>0</v>
      </c>
      <c r="AR6" s="5">
        <v>622</v>
      </c>
      <c r="AS6" s="5">
        <v>622</v>
      </c>
    </row>
    <row r="7" spans="1:52" x14ac:dyDescent="0.25">
      <c r="C7" t="s">
        <v>79</v>
      </c>
      <c r="D7" t="s">
        <v>76</v>
      </c>
      <c r="E7" s="5">
        <v>4.9697565153940397</v>
      </c>
      <c r="F7" s="5">
        <v>1</v>
      </c>
      <c r="G7" s="5">
        <v>2.81156780994858E-2</v>
      </c>
      <c r="H7" s="5">
        <v>0</v>
      </c>
      <c r="I7" s="5">
        <v>4.9697565153940397</v>
      </c>
      <c r="J7" s="5">
        <v>4.9697565153940397</v>
      </c>
      <c r="K7" s="5">
        <v>4.0075637431771201</v>
      </c>
      <c r="L7" s="5">
        <v>5.9498782513021498</v>
      </c>
      <c r="M7" s="5">
        <v>613</v>
      </c>
      <c r="P7" t="s">
        <v>74</v>
      </c>
      <c r="Q7" t="s">
        <v>88</v>
      </c>
      <c r="R7" t="s">
        <v>76</v>
      </c>
      <c r="S7" s="5">
        <v>13.538778131246801</v>
      </c>
      <c r="T7" s="5">
        <v>3E+20</v>
      </c>
      <c r="U7" s="5">
        <v>0</v>
      </c>
      <c r="V7" s="5">
        <v>13.538778131246801</v>
      </c>
      <c r="W7" s="5">
        <v>13.538778131246801</v>
      </c>
      <c r="X7" s="5">
        <v>0</v>
      </c>
      <c r="Y7" s="5">
        <v>34</v>
      </c>
      <c r="AL7" t="s">
        <v>95</v>
      </c>
      <c r="AM7" t="s">
        <v>96</v>
      </c>
      <c r="AN7" t="s">
        <v>76</v>
      </c>
      <c r="AO7" s="5">
        <v>613</v>
      </c>
      <c r="AP7" s="5">
        <v>4E+20</v>
      </c>
      <c r="AQ7" s="5">
        <v>0</v>
      </c>
      <c r="AR7" s="5">
        <v>613</v>
      </c>
      <c r="AS7" s="5">
        <v>613</v>
      </c>
    </row>
    <row r="8" spans="1:52" x14ac:dyDescent="0.25">
      <c r="C8" t="s">
        <v>80</v>
      </c>
      <c r="D8" t="s">
        <v>76</v>
      </c>
      <c r="E8" s="5">
        <v>7.0567373939018303</v>
      </c>
      <c r="F8" s="5">
        <v>1</v>
      </c>
      <c r="G8" s="5">
        <v>0.150207799396023</v>
      </c>
      <c r="H8" s="5">
        <v>0</v>
      </c>
      <c r="I8" s="5">
        <v>7.0567373939018303</v>
      </c>
      <c r="J8" s="5">
        <v>7.0567373939018303</v>
      </c>
      <c r="K8" s="5">
        <v>2.32814185354255</v>
      </c>
      <c r="L8" s="5">
        <v>12.391287503032601</v>
      </c>
      <c r="M8" s="5">
        <v>613</v>
      </c>
    </row>
    <row r="9" spans="1:52" x14ac:dyDescent="0.25">
      <c r="C9" t="s">
        <v>81</v>
      </c>
      <c r="D9" t="s">
        <v>76</v>
      </c>
      <c r="E9" s="5">
        <v>9.0452017766287405</v>
      </c>
      <c r="F9" s="5">
        <v>1</v>
      </c>
      <c r="G9" s="5">
        <v>3E+20</v>
      </c>
      <c r="H9" s="5">
        <v>0</v>
      </c>
      <c r="I9" s="5">
        <v>9.0452017766287405</v>
      </c>
      <c r="J9" s="5">
        <v>9.0452017766287405</v>
      </c>
      <c r="K9" s="5">
        <v>0</v>
      </c>
      <c r="L9" s="5">
        <v>35.522375967822398</v>
      </c>
      <c r="M9" s="5">
        <v>613</v>
      </c>
    </row>
  </sheetData>
  <dataConsolidate/>
  <conditionalFormatting pivot="1" sqref="G3:G9">
    <cfRule type="expression" dxfId="31" priority="14">
      <formula>G3=200000000000000000000</formula>
    </cfRule>
  </conditionalFormatting>
  <conditionalFormatting pivot="1" sqref="T3:T7">
    <cfRule type="expression" dxfId="30" priority="13">
      <formula>T3=200000000000000000000</formula>
    </cfRule>
  </conditionalFormatting>
  <conditionalFormatting pivot="1" sqref="T3:T7">
    <cfRule type="expression" dxfId="29" priority="12">
      <formula>T3=300000000000000000000</formula>
    </cfRule>
  </conditionalFormatting>
  <conditionalFormatting pivot="1" sqref="G3:G9">
    <cfRule type="expression" dxfId="28" priority="11">
      <formula>G3=300000000000000000000</formula>
    </cfRule>
  </conditionalFormatting>
  <conditionalFormatting pivot="1" sqref="F3:F9">
    <cfRule type="expression" dxfId="27" priority="10">
      <formula>F3=0</formula>
    </cfRule>
  </conditionalFormatting>
  <conditionalFormatting pivot="1" sqref="F3:F9">
    <cfRule type="expression" dxfId="26" priority="9">
      <formula>F3=1</formula>
    </cfRule>
  </conditionalFormatting>
  <conditionalFormatting pivot="1" sqref="T3:T7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8"/>
  <sheetViews>
    <sheetView workbookViewId="0">
      <selection activeCell="A2" sqref="A2:K6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9.42578125" bestFit="1" customWidth="1"/>
    <col min="5" max="5" width="13.285156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3.570312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8.9642111652634302</v>
      </c>
      <c r="H2">
        <v>3E+20</v>
      </c>
      <c r="I2">
        <v>0</v>
      </c>
      <c r="J2">
        <v>35.522375967822398</v>
      </c>
      <c r="K2">
        <v>621</v>
      </c>
      <c r="L2" t="str">
        <f>DiscreteStatsTable[[#This Row],[ProjectName]]&amp;DiscreteStatsTable[[#This Row],[Name]]&amp;DiscreteStatsTable[[#This Row],[Type]]&amp;DiscreteStatsTable[[#This Row],[Source]]</f>
        <v>Unnamed ProjectCheckin desk.QueueWaiting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8.9642111652634302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8.9642111652634302</v>
      </c>
      <c r="S2" cm="1">
        <f t="array" ref="S2">MAX(IF((DiscreteStatsTable[GroupByKey]=DiscreteStatsTable[[#This Row],[GroupByKey]]),(DiscreteStatsTable[GroupByKey]=DiscreteStatsTable[[#This Row],[GroupByKey]])*DiscreteStatsTable[Average]))</f>
        <v>8.9642111652634302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35.522375967822398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621</v>
      </c>
      <c r="W2">
        <f>IF((DiscreteStatsTable[[#This Row],[RepsRequested]]&gt;1),DiscreteStatsTable[[#This Row],[HalfWidth]],DiscreteStatsTable[[#This Row],[BatchMeansHalfWidth]])</f>
        <v>3E+20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70</v>
      </c>
      <c r="C3">
        <v>1</v>
      </c>
      <c r="D3" t="s">
        <v>74</v>
      </c>
      <c r="E3" t="s">
        <v>75</v>
      </c>
      <c r="F3" t="s">
        <v>76</v>
      </c>
      <c r="G3">
        <v>0</v>
      </c>
      <c r="H3">
        <v>0</v>
      </c>
      <c r="I3">
        <v>0</v>
      </c>
      <c r="J3">
        <v>0</v>
      </c>
      <c r="K3">
        <v>613</v>
      </c>
      <c r="L3" t="str">
        <f>DiscreteStatsTable[[#This Row],[ProjectName]]&amp;DiscreteStatsTable[[#This Row],[Name]]&amp;DiscreteStatsTable[[#This Row],[Type]]&amp;DiscreteStatsTable[[#This Row],[Source]]</f>
        <v>Unnamed ProjectPassengerNVA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613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70</v>
      </c>
      <c r="C4">
        <v>1</v>
      </c>
      <c r="D4" t="s">
        <v>74</v>
      </c>
      <c r="E4" t="s">
        <v>77</v>
      </c>
      <c r="F4" t="s">
        <v>76</v>
      </c>
      <c r="G4">
        <v>0</v>
      </c>
      <c r="H4">
        <v>0</v>
      </c>
      <c r="I4">
        <v>0</v>
      </c>
      <c r="J4">
        <v>0</v>
      </c>
      <c r="K4">
        <v>613</v>
      </c>
      <c r="L4" t="str">
        <f>DiscreteStatsTable[[#This Row],[ProjectName]]&amp;DiscreteStatsTable[[#This Row],[Name]]&amp;DiscreteStatsTable[[#This Row],[Type]]&amp;DiscreteStatsTable[[#This Row],[Source]]</f>
        <v>Unnamed ProjectPassengerOther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613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70</v>
      </c>
      <c r="C5">
        <v>1</v>
      </c>
      <c r="D5" t="s">
        <v>74</v>
      </c>
      <c r="E5" t="s">
        <v>78</v>
      </c>
      <c r="F5" t="s">
        <v>76</v>
      </c>
      <c r="G5">
        <v>21.071695685924599</v>
      </c>
      <c r="H5">
        <v>3E+20</v>
      </c>
      <c r="I5">
        <v>6.6503567497145504</v>
      </c>
      <c r="J5">
        <v>50.3920873838888</v>
      </c>
      <c r="K5">
        <v>613</v>
      </c>
      <c r="L5" t="str">
        <f>DiscreteStatsTable[[#This Row],[ProjectName]]&amp;DiscreteStatsTable[[#This Row],[Name]]&amp;DiscreteStatsTable[[#This Row],[Type]]&amp;DiscreteStatsTable[[#This Row],[Source]]</f>
        <v>Unnamed ProjectPassengerTotal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21.071695685924599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21.071695685924599</v>
      </c>
      <c r="S5" cm="1">
        <f t="array" ref="S5">MAX(IF((DiscreteStatsTable[GroupByKey]=DiscreteStatsTable[[#This Row],[GroupByKey]]),(DiscreteStatsTable[GroupByKey]=DiscreteStatsTable[[#This Row],[GroupByKey]])*DiscreteStatsTable[Average]))</f>
        <v>21.071695685924599</v>
      </c>
      <c r="T5" cm="1">
        <f t="array" ref="T5">MIN(IF((DiscreteStatsTable[GroupByKey]=DiscreteStatsTable[[#This Row],[GroupByKey]]),(DiscreteStatsTable[GroupByKey]=DiscreteStatsTable[[#This Row],[GroupByKey]])*DiscreteStatsTable[Minimum]))</f>
        <v>6.6503567497145504</v>
      </c>
      <c r="U5" cm="1">
        <f t="array" ref="U5">MAX(IF((DiscreteStatsTable[GroupByKey]=DiscreteStatsTable[[#This Row],[GroupByKey]]),(DiscreteStatsTable[GroupByKey]=DiscreteStatsTable[[#This Row],[GroupByKey]])*DiscreteStatsTable[Maximum]))</f>
        <v>50.3920873838888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613</v>
      </c>
      <c r="W5">
        <f>IF((DiscreteStatsTable[[#This Row],[RepsRequested]]&gt;1),DiscreteStatsTable[[#This Row],[HalfWidth]],DiscreteStatsTable[[#This Row],[BatchMeansHalfWidth]])</f>
        <v>3E+20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70</v>
      </c>
      <c r="C6">
        <v>1</v>
      </c>
      <c r="D6" t="s">
        <v>74</v>
      </c>
      <c r="E6" t="s">
        <v>79</v>
      </c>
      <c r="F6" t="s">
        <v>76</v>
      </c>
      <c r="G6">
        <v>4.9697565153940397</v>
      </c>
      <c r="H6">
        <v>2.81156780994858E-2</v>
      </c>
      <c r="I6">
        <v>4.0075637431771201</v>
      </c>
      <c r="J6">
        <v>5.9498782513021498</v>
      </c>
      <c r="K6">
        <v>613</v>
      </c>
      <c r="L6" t="str">
        <f>DiscreteStatsTable[[#This Row],[ProjectName]]&amp;DiscreteStatsTable[[#This Row],[Name]]&amp;DiscreteStatsTable[[#This Row],[Type]]&amp;DiscreteStatsTable[[#This Row],[Source]]</f>
        <v>Unnamed ProjectPassengerTransfer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4.9697565153940397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4.9697565153940397</v>
      </c>
      <c r="S6" cm="1">
        <f t="array" ref="S6">MAX(IF((DiscreteStatsTable[GroupByKey]=DiscreteStatsTable[[#This Row],[GroupByKey]]),(DiscreteStatsTable[GroupByKey]=DiscreteStatsTable[[#This Row],[GroupByKey]])*DiscreteStatsTable[Average]))</f>
        <v>4.9697565153940397</v>
      </c>
      <c r="T6" cm="1">
        <f t="array" ref="T6">MIN(IF((DiscreteStatsTable[GroupByKey]=DiscreteStatsTable[[#This Row],[GroupByKey]]),(DiscreteStatsTable[GroupByKey]=DiscreteStatsTable[[#This Row],[GroupByKey]])*DiscreteStatsTable[Minimum]))</f>
        <v>4.0075637431771201</v>
      </c>
      <c r="U6" cm="1">
        <f t="array" ref="U6">MAX(IF((DiscreteStatsTable[GroupByKey]=DiscreteStatsTable[[#This Row],[GroupByKey]]),(DiscreteStatsTable[GroupByKey]=DiscreteStatsTable[[#This Row],[GroupByKey]])*DiscreteStatsTable[Maximum]))</f>
        <v>5.9498782513021498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613</v>
      </c>
      <c r="W6">
        <f>IF((DiscreteStatsTable[[#This Row],[RepsRequested]]&gt;1),DiscreteStatsTable[[#This Row],[HalfWidth]],DiscreteStatsTable[[#This Row],[BatchMeansHalfWidth]])</f>
        <v>2.81156780994858E-2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70</v>
      </c>
      <c r="C7">
        <v>1</v>
      </c>
      <c r="D7" t="s">
        <v>74</v>
      </c>
      <c r="E7" t="s">
        <v>80</v>
      </c>
      <c r="F7" t="s">
        <v>76</v>
      </c>
      <c r="G7">
        <v>7.0567373939018303</v>
      </c>
      <c r="H7">
        <v>0.150207799396023</v>
      </c>
      <c r="I7">
        <v>2.32814185354255</v>
      </c>
      <c r="J7">
        <v>12.391287503032601</v>
      </c>
      <c r="K7">
        <v>613</v>
      </c>
      <c r="L7" t="str">
        <f>DiscreteStatsTable[[#This Row],[ProjectName]]&amp;DiscreteStatsTable[[#This Row],[Name]]&amp;DiscreteStatsTable[[#This Row],[Type]]&amp;DiscreteStatsTable[[#This Row],[Source]]</f>
        <v>Unnamed ProjectPassengerVA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7.0567373939018303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7.0567373939018303</v>
      </c>
      <c r="S7" cm="1">
        <f t="array" ref="S7">MAX(IF((DiscreteStatsTable[GroupByKey]=DiscreteStatsTable[[#This Row],[GroupByKey]]),(DiscreteStatsTable[GroupByKey]=DiscreteStatsTable[[#This Row],[GroupByKey]])*DiscreteStatsTable[Average]))</f>
        <v>7.0567373939018303</v>
      </c>
      <c r="T7" cm="1">
        <f t="array" ref="T7">MIN(IF((DiscreteStatsTable[GroupByKey]=DiscreteStatsTable[[#This Row],[GroupByKey]]),(DiscreteStatsTable[GroupByKey]=DiscreteStatsTable[[#This Row],[GroupByKey]])*DiscreteStatsTable[Minimum]))</f>
        <v>2.32814185354255</v>
      </c>
      <c r="U7" cm="1">
        <f t="array" ref="U7">MAX(IF((DiscreteStatsTable[GroupByKey]=DiscreteStatsTable[[#This Row],[GroupByKey]]),(DiscreteStatsTable[GroupByKey]=DiscreteStatsTable[[#This Row],[GroupByKey]])*DiscreteStatsTable[Maximum]))</f>
        <v>12.391287503032601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613</v>
      </c>
      <c r="W7">
        <f>IF((DiscreteStatsTable[[#This Row],[RepsRequested]]&gt;1),DiscreteStatsTable[[#This Row],[HalfWidth]],DiscreteStatsTable[[#This Row],[BatchMeansHalfWidth]])</f>
        <v>0.150207799396023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70</v>
      </c>
      <c r="C8">
        <v>1</v>
      </c>
      <c r="D8" t="s">
        <v>74</v>
      </c>
      <c r="E8" t="s">
        <v>81</v>
      </c>
      <c r="F8" t="s">
        <v>76</v>
      </c>
      <c r="G8">
        <v>9.0452017766287405</v>
      </c>
      <c r="H8">
        <v>3E+20</v>
      </c>
      <c r="I8">
        <v>0</v>
      </c>
      <c r="J8">
        <v>35.522375967822398</v>
      </c>
      <c r="K8">
        <v>613</v>
      </c>
      <c r="L8" t="str">
        <f>DiscreteStatsTable[[#This Row],[ProjectName]]&amp;DiscreteStatsTable[[#This Row],[Name]]&amp;DiscreteStatsTable[[#This Row],[Type]]&amp;DiscreteStatsTable[[#This Row],[Source]]</f>
        <v>Unnamed ProjectPassengerWait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9.0452017766287405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9.0452017766287405</v>
      </c>
      <c r="S8" cm="1">
        <f t="array" ref="S8">MAX(IF((DiscreteStatsTable[GroupByKey]=DiscreteStatsTable[[#This Row],[GroupByKey]]),(DiscreteStatsTable[GroupByKey]=DiscreteStatsTable[[#This Row],[GroupByKey]])*DiscreteStatsTable[Average]))</f>
        <v>9.0452017766287405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35.522375967822398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613</v>
      </c>
      <c r="W8">
        <f>IF((DiscreteStatsTable[[#This Row],[RepsRequested]]&gt;1),DiscreteStatsTable[[#This Row],[HalfWidth]],DiscreteStatsTable[[#This Row],[BatchMeansHalfWidth]])</f>
        <v>3E+20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</sheetData>
  <phoneticPr fontId="2" type="noConversion"/>
  <conditionalFormatting sqref="H2:H8 Q2:Q8">
    <cfRule type="expression" dxfId="20" priority="23">
      <formula>H2=200000000000000000000</formula>
    </cfRule>
  </conditionalFormatting>
  <conditionalFormatting sqref="H2:H8">
    <cfRule type="expression" dxfId="19" priority="21">
      <formula>H2=300000000000000000000</formula>
    </cfRule>
  </conditionalFormatting>
  <conditionalFormatting sqref="L2:Y8">
    <cfRule type="expression" dxfId="18" priority="19">
      <formula>MOD(ROW(),2)=0</formula>
    </cfRule>
  </conditionalFormatting>
  <conditionalFormatting sqref="Y2:Y8">
    <cfRule type="expression" dxfId="17" priority="14">
      <formula>Y2=0</formula>
    </cfRule>
    <cfRule type="expression" dxfId="16" priority="16">
      <formula>Y2=1</formula>
    </cfRule>
  </conditionalFormatting>
  <conditionalFormatting sqref="Y3:Y8">
    <cfRule type="expression" dxfId="15" priority="15">
      <formula>Y3=1</formula>
    </cfRule>
  </conditionalFormatting>
  <conditionalFormatting sqref="W2:W8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8 W2:W8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6"/>
  <sheetViews>
    <sheetView workbookViewId="0">
      <selection activeCell="A2" sqref="A2:L1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9.42578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60.710937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70</v>
      </c>
      <c r="C2">
        <v>1</v>
      </c>
      <c r="D2" t="s">
        <v>82</v>
      </c>
      <c r="E2" t="s">
        <v>83</v>
      </c>
      <c r="F2" t="s">
        <v>84</v>
      </c>
      <c r="G2">
        <v>0.90776359368131698</v>
      </c>
      <c r="H2">
        <v>2E+20</v>
      </c>
      <c r="I2">
        <v>0</v>
      </c>
      <c r="J2">
        <v>1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ProjectCheckin agentInstantaneous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0.90776359368131698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0.90776359368131698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0.90776359368131698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25">
      <c r="A3" t="s">
        <v>67</v>
      </c>
      <c r="B3" t="s">
        <v>70</v>
      </c>
      <c r="C3">
        <v>1</v>
      </c>
      <c r="D3" t="s">
        <v>82</v>
      </c>
      <c r="E3" t="s">
        <v>85</v>
      </c>
      <c r="F3" t="s">
        <v>84</v>
      </c>
      <c r="G3">
        <v>4.5388179684065904</v>
      </c>
      <c r="H3">
        <v>2E+20</v>
      </c>
      <c r="I3">
        <v>0</v>
      </c>
      <c r="J3">
        <v>5</v>
      </c>
      <c r="K3">
        <v>5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ProjectCheckin agentNumber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4.5388179684065904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4.5388179684065904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4.5388179684065904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25">
      <c r="A4" t="s">
        <v>67</v>
      </c>
      <c r="B4" t="s">
        <v>70</v>
      </c>
      <c r="C4">
        <v>1</v>
      </c>
      <c r="D4" t="s">
        <v>82</v>
      </c>
      <c r="E4" t="s">
        <v>86</v>
      </c>
      <c r="F4" t="s">
        <v>84</v>
      </c>
      <c r="G4">
        <v>5</v>
      </c>
      <c r="H4">
        <v>2E+20</v>
      </c>
      <c r="I4">
        <v>5</v>
      </c>
      <c r="J4">
        <v>5</v>
      </c>
      <c r="K4">
        <v>5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ProjectCheckin agentNumber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5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5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5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25">
      <c r="A5" t="s">
        <v>67</v>
      </c>
      <c r="B5" t="s">
        <v>70</v>
      </c>
      <c r="C5">
        <v>1</v>
      </c>
      <c r="D5" t="s">
        <v>71</v>
      </c>
      <c r="E5" t="s">
        <v>87</v>
      </c>
      <c r="F5" t="s">
        <v>73</v>
      </c>
      <c r="G5">
        <v>5.7987240975297798</v>
      </c>
      <c r="H5">
        <v>3E+20</v>
      </c>
      <c r="I5">
        <v>0</v>
      </c>
      <c r="J5">
        <v>25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ProjectCheckin desk.QueueNumber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5.7987240975297798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5.7987240975297798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5.7987240975297798</v>
      </c>
      <c r="U5">
        <f>IF((ContinuousStatsTable[[#This Row],[RepsRequested]]&gt;1),ContinuousStatsTable[[#This Row],[HalfWidth]],ContinuousStatsTable[[#This Row],[BatchMeansHalfWidth]])</f>
        <v>3E+20</v>
      </c>
    </row>
    <row r="6" spans="1:21" x14ac:dyDescent="0.25">
      <c r="A6" t="s">
        <v>67</v>
      </c>
      <c r="B6" t="s">
        <v>70</v>
      </c>
      <c r="C6">
        <v>1</v>
      </c>
      <c r="D6" t="s">
        <v>74</v>
      </c>
      <c r="E6" t="s">
        <v>88</v>
      </c>
      <c r="F6" t="s">
        <v>76</v>
      </c>
      <c r="G6">
        <v>13.538778131246801</v>
      </c>
      <c r="H6">
        <v>3E+20</v>
      </c>
      <c r="I6">
        <v>0</v>
      </c>
      <c r="J6">
        <v>34</v>
      </c>
      <c r="K6">
        <v>9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ProjectPassengerWIPEntity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13.538778131246801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13.538778131246801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13.538778131246801</v>
      </c>
      <c r="U6">
        <f>IF((ContinuousStatsTable[[#This Row],[RepsRequested]]&gt;1),ContinuousStatsTable[[#This Row],[HalfWidth]],ContinuousStatsTable[[#This Row],[BatchMeansHalfWidth]])</f>
        <v>3E+20</v>
      </c>
    </row>
  </sheetData>
  <phoneticPr fontId="2" type="noConversion"/>
  <conditionalFormatting sqref="H2:H6">
    <cfRule type="expression" dxfId="11" priority="9">
      <formula>H2=200000000000000000000</formula>
    </cfRule>
  </conditionalFormatting>
  <conditionalFormatting sqref="H2:H6">
    <cfRule type="expression" dxfId="10" priority="7">
      <formula>H2=300000000000000000000</formula>
    </cfRule>
  </conditionalFormatting>
  <conditionalFormatting sqref="M2:U6">
    <cfRule type="expression" dxfId="9" priority="5">
      <formula>MOD(ROW(),2)=0</formula>
    </cfRule>
  </conditionalFormatting>
  <conditionalFormatting sqref="U2:U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6 U2:U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6"/>
  <sheetViews>
    <sheetView workbookViewId="0">
      <selection activeCell="A2" sqref="A2:H3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33.1406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7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70</v>
      </c>
      <c r="C2">
        <v>1</v>
      </c>
      <c r="D2" t="s">
        <v>89</v>
      </c>
      <c r="E2" t="s">
        <v>90</v>
      </c>
      <c r="F2" t="s">
        <v>84</v>
      </c>
      <c r="G2">
        <v>621</v>
      </c>
      <c r="H2">
        <v>0</v>
      </c>
      <c r="I2" t="str">
        <f>OutputTable[[#This Row],[ProjectName]]&amp;OutputTable[[#This Row],[Name]]&amp;OutputTable[[#This Row],[Type]]&amp;OutputTable[[#This Row],[Source]]</f>
        <v>Unnamed ProjectCheckin agent.NumberSeizedTotal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621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621</v>
      </c>
      <c r="P2" cm="1">
        <f t="array" ref="P2">MAX(IF((OutputTable[GroupByKey]=OutputTable[[#This Row],[GroupByKey]]),(OutputTable[GroupByKey]=OutputTable[[#This Row],[GroupByKey]])*OutputTable[RecordedValue]))</f>
        <v>621</v>
      </c>
    </row>
    <row r="3" spans="1:16" x14ac:dyDescent="0.25">
      <c r="A3" t="s">
        <v>67</v>
      </c>
      <c r="B3" t="s">
        <v>70</v>
      </c>
      <c r="C3">
        <v>1</v>
      </c>
      <c r="D3" t="s">
        <v>91</v>
      </c>
      <c r="E3" t="s">
        <v>92</v>
      </c>
      <c r="F3" t="s">
        <v>84</v>
      </c>
      <c r="G3">
        <v>0.90776359368131798</v>
      </c>
      <c r="H3">
        <v>0</v>
      </c>
      <c r="I3" t="str">
        <f>OutputTable[[#This Row],[ProjectName]]&amp;OutputTable[[#This Row],[Name]]&amp;OutputTable[[#This Row],[Type]]&amp;OutputTable[[#This Row],[Source]]</f>
        <v>Unnamed ProjectCheckin agent.ScheduledUtilizationScheduled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0.90776359368131798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0.90776359368131798</v>
      </c>
      <c r="P3" cm="1">
        <f t="array" ref="P3">MAX(IF((OutputTable[GroupByKey]=OutputTable[[#This Row],[GroupByKey]]),(OutputTable[GroupByKey]=OutputTable[[#This Row],[GroupByKey]])*OutputTable[RecordedValue]))</f>
        <v>0.90776359368131798</v>
      </c>
    </row>
    <row r="4" spans="1:16" x14ac:dyDescent="0.25">
      <c r="A4" t="s">
        <v>67</v>
      </c>
      <c r="B4" t="s">
        <v>70</v>
      </c>
      <c r="C4">
        <v>1</v>
      </c>
      <c r="D4" t="s">
        <v>93</v>
      </c>
      <c r="E4" t="s">
        <v>94</v>
      </c>
      <c r="F4" t="s">
        <v>76</v>
      </c>
      <c r="G4">
        <v>622</v>
      </c>
      <c r="H4">
        <v>0</v>
      </c>
      <c r="I4" t="str">
        <f>OutputTable[[#This Row],[ProjectName]]&amp;OutputTable[[#This Row],[Name]]&amp;OutputTable[[#This Row],[Type]]&amp;OutputTable[[#This Row],[Source]]</f>
        <v>Unnamed ProjectPassenger.NumberInNumber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622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622</v>
      </c>
      <c r="P4" cm="1">
        <f t="array" ref="P4">MAX(IF((OutputTable[GroupByKey]=OutputTable[[#This Row],[GroupByKey]]),(OutputTable[GroupByKey]=OutputTable[[#This Row],[GroupByKey]])*OutputTable[RecordedValue]))</f>
        <v>622</v>
      </c>
    </row>
    <row r="5" spans="1:16" x14ac:dyDescent="0.25">
      <c r="A5" t="s">
        <v>67</v>
      </c>
      <c r="B5" t="s">
        <v>70</v>
      </c>
      <c r="C5">
        <v>1</v>
      </c>
      <c r="D5" t="s">
        <v>95</v>
      </c>
      <c r="E5" t="s">
        <v>96</v>
      </c>
      <c r="F5" t="s">
        <v>76</v>
      </c>
      <c r="G5">
        <v>613</v>
      </c>
      <c r="H5">
        <v>0</v>
      </c>
      <c r="I5" t="str">
        <f>OutputTable[[#This Row],[ProjectName]]&amp;OutputTable[[#This Row],[Name]]&amp;OutputTable[[#This Row],[Type]]&amp;OutputTable[[#This Row],[Source]]</f>
        <v>Unnamed ProjectPassenger.NumberOutNumber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613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613</v>
      </c>
      <c r="P5" cm="1">
        <f t="array" ref="P5">MAX(IF((OutputTable[GroupByKey]=OutputTable[[#This Row],[GroupByKey]]),(OutputTable[GroupByKey]=OutputTable[[#This Row],[GroupByKey]])*OutputTable[RecordedValue]))</f>
        <v>613</v>
      </c>
    </row>
    <row r="6" spans="1:16" x14ac:dyDescent="0.25">
      <c r="A6" t="s">
        <v>67</v>
      </c>
      <c r="B6" t="s">
        <v>70</v>
      </c>
      <c r="C6">
        <v>1</v>
      </c>
      <c r="D6" t="s">
        <v>97</v>
      </c>
      <c r="E6" t="s">
        <v>96</v>
      </c>
      <c r="F6" t="s">
        <v>98</v>
      </c>
      <c r="G6">
        <v>613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613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613</v>
      </c>
      <c r="P6" cm="1">
        <f t="array" ref="P6">MAX(IF((OutputTable[GroupByKey]=OutputTable[[#This Row],[GroupByKey]]),(OutputTable[GroupByKey]=OutputTable[[#This Row],[GroupByKey]])*OutputTable[RecordedValue]))</f>
        <v>613</v>
      </c>
    </row>
  </sheetData>
  <phoneticPr fontId="2" type="noConversion"/>
  <conditionalFormatting sqref="I2:P6">
    <cfRule type="expression" dxfId="3" priority="2">
      <formula>MOD(ROW(),2)=0</formula>
    </cfRule>
  </conditionalFormatting>
  <conditionalFormatting sqref="N2:N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Bashir Adlan</cp:lastModifiedBy>
  <cp:lastPrinted>2022-03-22T10:33:10Z</cp:lastPrinted>
  <dcterms:created xsi:type="dcterms:W3CDTF">2020-06-29T21:30:31Z</dcterms:created>
  <dcterms:modified xsi:type="dcterms:W3CDTF">2026-02-04T13:28:50Z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