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ashe\Downloads\ÅK3\TNK089 Diskret Simulering\LAB3\new\"/>
    </mc:Choice>
  </mc:AlternateContent>
  <xr:revisionPtr revIDLastSave="0" documentId="13_ncr:1_{F93ED946-B1C1-46C8-9EE4-A26836023F1B}" xr6:coauthVersionLast="47" xr6:coauthVersionMax="47" xr10:uidLastSave="{00000000-0000-0000-0000-000000000000}"/>
  <bookViews>
    <workbookView xWindow="-110" yWindow="-110" windowWidth="19420" windowHeight="103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ContinuousTimeStatsByRep!$A$1:$L$20</definedName>
    <definedName name="ExternalData_1" localSheetId="4" hidden="1">CounterStatsByRep!$A$1:$G$2</definedName>
    <definedName name="ExternalData_1" localSheetId="2" hidden="1">DiscreteTimeStatsByRep!$A$1:$K$10</definedName>
    <definedName name="ExternalData_1" localSheetId="6" hidden="1">FrequencyStatsByRep!$A$1:$K$2</definedName>
    <definedName name="ExternalData_1" localSheetId="5" hidden="1">OutputStatsByRep!$A$1:$H$14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191" r:id="rId8"/>
    <pivotCache cacheId="198" r:id="rId9"/>
    <pivotCache cacheId="205" r:id="rId10"/>
    <pivotCache cacheId="212" r:id="rId11"/>
    <pivotCache cacheId="21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K2" i="20" a="1"/>
  <c r="K2" i="20" s="1"/>
  <c r="K3" i="20" a="1"/>
  <c r="K3" i="20" s="1"/>
  <c r="K4" i="20" a="1"/>
  <c r="K4" i="20" s="1"/>
  <c r="K5" i="20" a="1"/>
  <c r="K5" i="20" s="1"/>
  <c r="K6" i="20" a="1"/>
  <c r="K6" i="20" s="1"/>
  <c r="K7" i="20" a="1"/>
  <c r="K7" i="20" s="1"/>
  <c r="K8" i="20" a="1"/>
  <c r="K8" i="20" s="1"/>
  <c r="K9" i="20" a="1"/>
  <c r="K9" i="20" s="1"/>
  <c r="K10" i="20" a="1"/>
  <c r="K10" i="20" s="1"/>
  <c r="K11" i="20" a="1"/>
  <c r="K11" i="20" s="1"/>
  <c r="K12" i="20" a="1"/>
  <c r="K12" i="20" s="1"/>
  <c r="K13" i="20" a="1"/>
  <c r="K13" i="20" s="1"/>
  <c r="K14" i="20" a="1"/>
  <c r="K14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L7" i="20" a="1"/>
  <c r="L7" i="20" s="1"/>
  <c r="L8" i="20" a="1"/>
  <c r="L8" i="20" s="1"/>
  <c r="L9" i="20" a="1"/>
  <c r="L9" i="20" s="1"/>
  <c r="L10" i="20" a="1"/>
  <c r="L10" i="20" s="1"/>
  <c r="L11" i="20" a="1"/>
  <c r="L11" i="20" s="1"/>
  <c r="L12" i="20" a="1"/>
  <c r="L12" i="20" s="1"/>
  <c r="L13" i="20" a="1"/>
  <c r="L13" i="20" s="1"/>
  <c r="L14" i="20" a="1"/>
  <c r="L14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O2" i="18" a="1"/>
  <c r="O2" i="18" s="1"/>
  <c r="O3" i="18" a="1"/>
  <c r="O3" i="18" s="1"/>
  <c r="O4" i="18" a="1"/>
  <c r="O4" i="18" s="1"/>
  <c r="O5" i="18" a="1"/>
  <c r="O5" i="18" s="1"/>
  <c r="O6" i="18" a="1"/>
  <c r="O6" i="18" s="1"/>
  <c r="O7" i="18" a="1"/>
  <c r="O7" i="18" s="1"/>
  <c r="O8" i="18" a="1"/>
  <c r="O8" i="18" s="1"/>
  <c r="O9" i="18" a="1"/>
  <c r="O9" i="18" s="1"/>
  <c r="O10" i="18" a="1"/>
  <c r="O10" i="18" s="1"/>
  <c r="O11" i="18" a="1"/>
  <c r="O11" i="18" s="1"/>
  <c r="O12" i="18" a="1"/>
  <c r="O12" i="18" s="1"/>
  <c r="O13" i="18" a="1"/>
  <c r="O13" i="18" s="1"/>
  <c r="O14" i="18" a="1"/>
  <c r="O14" i="18" s="1"/>
  <c r="O15" i="18" a="1"/>
  <c r="O15" i="18" s="1"/>
  <c r="O16" i="18" a="1"/>
  <c r="O16" i="18" s="1"/>
  <c r="O17" i="18" a="1"/>
  <c r="O17" i="18" s="1"/>
  <c r="O18" i="18" a="1"/>
  <c r="O18" i="18" s="1"/>
  <c r="O19" i="18" a="1"/>
  <c r="O19" i="18" s="1"/>
  <c r="O20" i="18" a="1"/>
  <c r="O20" i="18" s="1"/>
  <c r="P2" i="18" a="1"/>
  <c r="P2" i="18" s="1"/>
  <c r="P3" i="18" a="1"/>
  <c r="P3" i="18" s="1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Q15" i="18" a="1"/>
  <c r="Q15" i="18" s="1"/>
  <c r="Q16" i="18" a="1"/>
  <c r="Q16" i="18" s="1"/>
  <c r="Q17" i="18" a="1"/>
  <c r="Q17" i="18" s="1"/>
  <c r="Q18" i="18" a="1"/>
  <c r="Q18" i="18" s="1"/>
  <c r="Q19" i="18" a="1"/>
  <c r="Q19" i="18" s="1"/>
  <c r="Q20" i="18" a="1"/>
  <c r="Q20" i="18" s="1"/>
  <c r="S2" i="18" a="1"/>
  <c r="S2" i="18" s="1"/>
  <c r="S3" i="18" a="1"/>
  <c r="S3" i="18" s="1"/>
  <c r="S4" i="18" a="1"/>
  <c r="S4" i="18" s="1"/>
  <c r="S5" i="18" a="1"/>
  <c r="S5" i="18" s="1"/>
  <c r="S6" i="18" a="1"/>
  <c r="S6" i="18" s="1"/>
  <c r="S7" i="18" a="1"/>
  <c r="S7" i="18" s="1"/>
  <c r="S8" i="18" a="1"/>
  <c r="S8" i="18" s="1"/>
  <c r="S9" i="18" a="1"/>
  <c r="S9" i="18" s="1"/>
  <c r="S10" i="18" a="1"/>
  <c r="S10" i="18" s="1"/>
  <c r="S11" i="18" a="1"/>
  <c r="S11" i="18" s="1"/>
  <c r="S12" i="18" a="1"/>
  <c r="S12" i="18" s="1"/>
  <c r="S13" i="18" a="1"/>
  <c r="S13" i="18" s="1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 s="1"/>
  <c r="T12" i="18" a="1"/>
  <c r="T12" i="18" s="1"/>
  <c r="T13" i="18" a="1"/>
  <c r="T13" i="18" s="1"/>
  <c r="T14" i="18" a="1"/>
  <c r="T14" i="18" s="1"/>
  <c r="T15" i="18" a="1"/>
  <c r="T15" i="18" s="1"/>
  <c r="T16" i="18" a="1"/>
  <c r="T16" i="18" s="1"/>
  <c r="T17" i="18" a="1"/>
  <c r="T17" i="18" s="1"/>
  <c r="T18" i="18" a="1"/>
  <c r="T18" i="18" s="1"/>
  <c r="T19" i="18" a="1"/>
  <c r="T19" i="18" s="1"/>
  <c r="T20" i="18" a="1"/>
  <c r="T20" i="18" s="1"/>
  <c r="L8" i="17"/>
  <c r="L10" i="17"/>
  <c r="L2" i="17"/>
  <c r="L3" i="17"/>
  <c r="L4" i="17"/>
  <c r="L5" i="17"/>
  <c r="L6" i="17"/>
  <c r="L7" i="17"/>
  <c r="L9" i="17"/>
  <c r="M8" i="17" a="1"/>
  <c r="M8" i="17" s="1"/>
  <c r="M10" i="17" a="1"/>
  <c r="M10" i="17" s="1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9" i="17" a="1"/>
  <c r="M9" i="17" s="1"/>
  <c r="N8" i="17" a="1"/>
  <c r="N8" i="17" s="1"/>
  <c r="N10" i="17" a="1"/>
  <c r="N10" i="17" s="1"/>
  <c r="N2" i="17" a="1"/>
  <c r="N2" i="17" s="1"/>
  <c r="N3" i="17" a="1"/>
  <c r="N3" i="17" s="1"/>
  <c r="N4" i="17" a="1"/>
  <c r="N4" i="17" s="1"/>
  <c r="N5" i="17" a="1"/>
  <c r="N5" i="17" s="1"/>
  <c r="N6" i="17" a="1"/>
  <c r="N6" i="17" s="1"/>
  <c r="N7" i="17" a="1"/>
  <c r="N7" i="17" s="1"/>
  <c r="N9" i="17" a="1"/>
  <c r="N9" i="17" s="1"/>
  <c r="O8" i="17" a="1"/>
  <c r="O8" i="17" s="1"/>
  <c r="O10" i="17" a="1"/>
  <c r="O10" i="17" s="1"/>
  <c r="O2" i="17" a="1"/>
  <c r="O2" i="17" s="1"/>
  <c r="O3" i="17" a="1"/>
  <c r="O3" i="17" s="1"/>
  <c r="O4" i="17" a="1"/>
  <c r="O4" i="17" s="1"/>
  <c r="O5" i="17" a="1"/>
  <c r="O5" i="17" s="1"/>
  <c r="O6" i="17" a="1"/>
  <c r="O6" i="17" s="1"/>
  <c r="O7" i="17" a="1"/>
  <c r="O7" i="17" s="1"/>
  <c r="O9" i="17" a="1"/>
  <c r="O9" i="17" s="1"/>
  <c r="P8" i="17" a="1"/>
  <c r="P8" i="17" s="1"/>
  <c r="P10" i="17" a="1"/>
  <c r="P10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9" i="17" a="1"/>
  <c r="P9" i="17" s="1"/>
  <c r="R8" i="17" a="1"/>
  <c r="R8" i="17" s="1"/>
  <c r="R10" i="17" a="1"/>
  <c r="R10" i="17" s="1"/>
  <c r="R2" i="17" a="1"/>
  <c r="R2" i="17" s="1"/>
  <c r="R3" i="17" a="1"/>
  <c r="R3" i="17" s="1"/>
  <c r="R4" i="17" a="1"/>
  <c r="R4" i="17" s="1"/>
  <c r="R5" i="17" a="1"/>
  <c r="R5" i="17" s="1"/>
  <c r="R6" i="17" a="1"/>
  <c r="R6" i="17" s="1"/>
  <c r="R7" i="17" a="1"/>
  <c r="R7" i="17" s="1"/>
  <c r="R9" i="17" a="1"/>
  <c r="R9" i="17" s="1"/>
  <c r="S8" i="17" a="1"/>
  <c r="S8" i="17" s="1"/>
  <c r="S10" i="17" a="1"/>
  <c r="S10" i="17" s="1"/>
  <c r="S2" i="17" a="1"/>
  <c r="S2" i="17" s="1"/>
  <c r="S3" i="17" a="1"/>
  <c r="S3" i="17" s="1"/>
  <c r="S4" i="17" a="1"/>
  <c r="S4" i="17" s="1"/>
  <c r="S5" i="17" a="1"/>
  <c r="S5" i="17" s="1"/>
  <c r="S6" i="17" a="1"/>
  <c r="S6" i="17" s="1"/>
  <c r="S7" i="17" a="1"/>
  <c r="S7" i="17" s="1"/>
  <c r="S9" i="17" a="1"/>
  <c r="S9" i="17" s="1"/>
  <c r="T8" i="17" a="1"/>
  <c r="T8" i="17" s="1"/>
  <c r="T10" i="17" a="1"/>
  <c r="T10" i="17" s="1"/>
  <c r="T2" i="17" a="1"/>
  <c r="T2" i="17" s="1"/>
  <c r="T3" i="17" a="1"/>
  <c r="T3" i="17" s="1"/>
  <c r="T4" i="17" a="1"/>
  <c r="T4" i="17" s="1"/>
  <c r="T5" i="17" a="1"/>
  <c r="T5" i="17" s="1"/>
  <c r="T6" i="17" a="1"/>
  <c r="T6" i="17" s="1"/>
  <c r="T7" i="17" a="1"/>
  <c r="T7" i="17" s="1"/>
  <c r="T9" i="17" a="1"/>
  <c r="T9" i="17" s="1"/>
  <c r="U8" i="17" a="1"/>
  <c r="U8" i="17" s="1"/>
  <c r="U10" i="17" a="1"/>
  <c r="U10" i="17" s="1"/>
  <c r="U2" i="17" a="1"/>
  <c r="U2" i="17" s="1"/>
  <c r="U3" i="17" a="1"/>
  <c r="U3" i="17" s="1"/>
  <c r="U4" i="17" a="1"/>
  <c r="U4" i="17" s="1"/>
  <c r="U5" i="17" a="1"/>
  <c r="U5" i="17" s="1"/>
  <c r="U6" i="17" a="1"/>
  <c r="U6" i="17" s="1"/>
  <c r="U7" i="17" a="1"/>
  <c r="U7" i="17" s="1"/>
  <c r="U9" i="17" a="1"/>
  <c r="U9" i="17" s="1"/>
  <c r="V8" i="17" a="1"/>
  <c r="V8" i="17" s="1"/>
  <c r="V10" i="17" a="1"/>
  <c r="V10" i="17" s="1"/>
  <c r="V2" i="17" a="1"/>
  <c r="V2" i="17" s="1"/>
  <c r="V3" i="17" a="1"/>
  <c r="V3" i="17" s="1"/>
  <c r="V4" i="17" a="1"/>
  <c r="V4" i="17" s="1"/>
  <c r="V5" i="17" a="1"/>
  <c r="V5" i="17" s="1"/>
  <c r="V6" i="17" a="1"/>
  <c r="V6" i="17" s="1"/>
  <c r="V7" i="17" a="1"/>
  <c r="V7" i="17" s="1"/>
  <c r="V9" i="17" a="1"/>
  <c r="V9" i="17" s="1"/>
  <c r="X8" i="17" a="1"/>
  <c r="X8" i="17" s="1"/>
  <c r="X10" i="17" a="1"/>
  <c r="X10" i="17" s="1"/>
  <c r="X2" i="17" a="1"/>
  <c r="X2" i="17" s="1"/>
  <c r="X3" i="17" a="1"/>
  <c r="X3" i="17" s="1"/>
  <c r="X4" i="17" a="1"/>
  <c r="X4" i="17" s="1"/>
  <c r="X5" i="17" a="1"/>
  <c r="X5" i="17" s="1"/>
  <c r="X6" i="17" a="1"/>
  <c r="X6" i="17" s="1"/>
  <c r="X7" i="17" a="1"/>
  <c r="X7" i="17" s="1"/>
  <c r="X9" i="17" a="1"/>
  <c r="X9" i="17" s="1"/>
  <c r="G2" i="16"/>
  <c r="N2" i="20" l="1"/>
  <c r="N3" i="20"/>
  <c r="N4" i="20"/>
  <c r="N5" i="20"/>
  <c r="N6" i="20"/>
  <c r="N7" i="20"/>
  <c r="N8" i="20"/>
  <c r="N9" i="20"/>
  <c r="N10" i="20"/>
  <c r="N11" i="20"/>
  <c r="N12" i="20"/>
  <c r="N13" i="20"/>
  <c r="N14" i="20"/>
  <c r="U2" i="18"/>
  <c r="R2" i="18"/>
  <c r="R3" i="18"/>
  <c r="U3" i="18"/>
  <c r="R4" i="18"/>
  <c r="U4" i="18"/>
  <c r="U5" i="18"/>
  <c r="R5" i="18"/>
  <c r="U6" i="18"/>
  <c r="R6" i="18"/>
  <c r="R7" i="18"/>
  <c r="U7" i="18"/>
  <c r="R8" i="18"/>
  <c r="U8" i="18"/>
  <c r="U9" i="18"/>
  <c r="R9" i="18"/>
  <c r="R10" i="18"/>
  <c r="U10" i="18"/>
  <c r="U11" i="18"/>
  <c r="R11" i="18"/>
  <c r="R12" i="18"/>
  <c r="U12" i="18"/>
  <c r="U13" i="18"/>
  <c r="R13" i="18"/>
  <c r="R14" i="18"/>
  <c r="U14" i="18"/>
  <c r="R15" i="18"/>
  <c r="U15" i="18"/>
  <c r="R16" i="18"/>
  <c r="U16" i="18"/>
  <c r="R17" i="18"/>
  <c r="U17" i="18"/>
  <c r="U18" i="18"/>
  <c r="R18" i="18"/>
  <c r="R19" i="18"/>
  <c r="U19" i="18"/>
  <c r="R20" i="18"/>
  <c r="U20" i="18"/>
  <c r="W6" i="17"/>
  <c r="Y6" i="17"/>
  <c r="Q6" i="17" s="1"/>
  <c r="Y8" i="17"/>
  <c r="Q8" i="17" s="1"/>
  <c r="W8" i="17"/>
  <c r="Y10" i="17"/>
  <c r="Q10" i="17" s="1"/>
  <c r="W10" i="17"/>
  <c r="Y2" i="17"/>
  <c r="Q2" i="17" s="1"/>
  <c r="W2" i="17"/>
  <c r="Y3" i="17"/>
  <c r="Q3" i="17" s="1"/>
  <c r="W3" i="17"/>
  <c r="W4" i="17"/>
  <c r="Y4" i="17"/>
  <c r="Q4" i="17" s="1"/>
  <c r="Y5" i="17"/>
  <c r="Q5" i="17" s="1"/>
  <c r="W5" i="17"/>
  <c r="Y7" i="17"/>
  <c r="Q7" i="17" s="1"/>
  <c r="W7" i="17"/>
  <c r="W9" i="17"/>
  <c r="Y9" i="17"/>
  <c r="Q9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bashe\downloads\åk3\tnk089 diskret simulering\lab3\new\team04_uppgift3_1an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bashe\downloads\åk3\tnk089 diskret simulering\lab3\new\team04_uppgift3_1an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bashe\downloads\åk3\tnk089 diskret simulering\lab3\new\team04_uppgift3_1an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bashe\downloads\åk3\tnk089 diskret simulering\lab3\new\team04_uppgift3_1an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bashe\downloads\åk3\tnk089 diskret simulering\lab3\new\team04_uppgift3_1an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bashe\downloads\åk3\tnk089 diskret simulering\lab3\new\team04_uppgift3_1an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<sst xmlns="http://schemas.openxmlformats.org/spreadsheetml/2006/main" count="481" uniqueCount="113">
  <si>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</si>
  <si>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</si>
  <si>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</si>
  <si>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</si>
  <si>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</si>
  <si>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</si>
  <si>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</si>
  <si>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</si>
  <si>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</si>
  <si>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</si>
  <si>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</si>
  <si>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</si>
  <si>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</si>
  <si>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</si>
  <si>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</si>
  <si>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</si>
  <si>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</si>
  <si>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</si>
  <si>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</si>
  <si>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</si>
  <si>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</si>
  <si>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</si>
  <si>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</si>
  <si>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</si>
  <si>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</si>
  <si>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</si>
  <si>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</si>
  <si>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</si>
  <si>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</si>
  <si>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</si>
  <si>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</si>
  <si>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</si>
  <si>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</si>
  <si>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</si>
  <si>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</si>
  <si>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</si>
  <si>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</si>
  <si>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</si>
  <si>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</si>
  <si>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</si>
  <si>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</si>
  <si>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</si>
  <si>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</si>
  <si>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</si>
  <si>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</si>
  <si>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</si>
  <si>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</si>
  <si>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</si>
  <si>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</si>
  <si>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</si>
  <si>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</si>
  <si>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</si>
  <si>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</si>
  <si>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</si>
  <si>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</si>
  <si>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</si>
  <si>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</si>
  <si>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</si>
  <si>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</si>
  <si>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</si>
  <si>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</si>
  <si>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</si>
  <si>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</si>
  <si>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</si>
  <si>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</si>
  <si>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</si>
  <si>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</si>
  <si>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</si>
  <si>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C:\Users\bashe\Downloads\ÅK3\TNK089 Diskret Simulering\LAB3\new\team04_uppgift3_1an.p</t>
  </si>
  <si>
    <t>2026-02-22 22:41:12</t>
  </si>
  <si>
    <t>Inspektion.Queue</t>
  </si>
  <si>
    <t>Waiting Time</t>
  </si>
  <si>
    <t>Queue</t>
  </si>
  <si>
    <t>Reparation.Queue</t>
  </si>
  <si>
    <t>flakt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</si>
  <si>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</si>
  <si>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</si>
  <si>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</si>
  <si>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</si>
  <si>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</si>
  <si>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</si>
  <si>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</si>
  <si>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montering.Queue</t>
  </si>
  <si>
    <t>Number Waiting</t>
  </si>
  <si>
    <t>Kontrollant</t>
  </si>
  <si>
    <t>Instantaneous Utilization</t>
  </si>
  <si>
    <t>Resource</t>
  </si>
  <si>
    <t>Number Busy</t>
  </si>
  <si>
    <t>Number Scheduled</t>
  </si>
  <si>
    <t>WIP</t>
  </si>
  <si>
    <t>op1</t>
  </si>
  <si>
    <t>op2</t>
  </si>
  <si>
    <t>op3</t>
  </si>
  <si>
    <t>op4</t>
  </si>
  <si>
    <t>Kontrollant.NumberSeized</t>
  </si>
  <si>
    <t>Total Number Seized</t>
  </si>
  <si>
    <t>Kontrollant.ScheduledUtilization</t>
  </si>
  <si>
    <t>Scheduled Utilization</t>
  </si>
  <si>
    <t>System.NumberOut</t>
  </si>
  <si>
    <t>Number Out</t>
  </si>
  <si>
    <t>System</t>
  </si>
  <si>
    <t>flakt.NumberIn</t>
  </si>
  <si>
    <t>Number In</t>
  </si>
  <si>
    <t>flakt.NumberOut</t>
  </si>
  <si>
    <t>op1.NumberSeized</t>
  </si>
  <si>
    <t>op1.ScheduledUtilization</t>
  </si>
  <si>
    <t>op2.NumberSeized</t>
  </si>
  <si>
    <t>op2.ScheduledUtilization</t>
  </si>
  <si>
    <t>op3.NumberSeized</t>
  </si>
  <si>
    <t>op3.ScheduledUtilization</t>
  </si>
  <si>
    <t>op4.NumberSeized</t>
  </si>
  <si>
    <t>op4.ScheduledUtilization</t>
  </si>
  <si>
    <t>(tom)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</si>
</sst>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75.945398263888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75.94539872685" createdVersion="7" refreshedVersion="8" minRefreshableVersion="3" recordCount="19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3">
        <s v="Inspektion.Queue"/>
        <s v="Kontrollant"/>
        <s v="Reparation.Queue"/>
        <s v="flakt"/>
        <s v="montering.Queue"/>
        <s v="op1"/>
        <s v="op2"/>
        <s v="op3"/>
        <s v="op4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Instantaneous Utilization"/>
        <s v="Number Busy"/>
        <s v="Number Scheduled"/>
        <s v="WIP"/>
        <m u="1"/>
        <s v="Levels" u="1"/>
      </sharedItems>
    </cacheField>
    <cacheField name="Source" numFmtId="0">
      <sharedItems containsBlank="1" count="5">
        <s v="Queue"/>
        <s v="Resource"/>
        <s v="Entity"/>
        <m u="1"/>
        <s v="User Specified" u="1"/>
      </sharedItems>
    </cacheField>
    <cacheField name="Average" numFmtId="0">
      <sharedItems containsSemiMixedTypes="0" containsString="0" containsNumber="1" minValue="0.175606888687766" maxValue="6.0585344173849398"/>
    </cacheField>
    <cacheField name="BatchMeansHalfWidth" numFmtId="0">
      <sharedItems containsSemiMixedTypes="0" containsString="0" containsNumber="1" minValue="9.4627315756569408E-3" maxValue="3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13"/>
    </cacheField>
    <cacheField name="LastRecordedValue" numFmtId="0">
      <sharedItems containsSemiMixedTypes="0" containsString="0" containsNumber="1" containsInteger="1" minValue="0" maxValue="6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.175606888687766" maxValue="6.0585344173849398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.175606888687766" maxValue="6.0585344173849398"/>
    </cacheField>
    <cacheField name="MaximumAverage" numFmtId="0">
      <sharedItems containsSemiMixedTypes="0" containsString="0" containsNumber="1" minValue="0.175606888687766" maxValue="6.0585344173849398"/>
    </cacheField>
    <cacheField name="SummaryHalfWidth" numFmtId="0">
      <sharedItems containsSemiMixedTypes="0" containsString="0" containsNumber="1" minValue="9.4627315756569408E-3" maxValue="3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75.945398842596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75.945399189812" createdVersion="7" refreshedVersion="8" minRefreshableVersion="3" recordCount="9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3">
        <s v="flakt"/>
        <s v="Inspektion.Queue"/>
        <s v="montering.Queue"/>
        <s v="Reparation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34.388458322004901"/>
    </cacheField>
    <cacheField name="BatchMeansHalfWidth" numFmtId="0">
      <sharedItems containsSemiMixedTypes="0" containsString="0" containsNumber="1" minValue="0" maxValue="2E+20"/>
    </cacheField>
    <cacheField name="Minimum" numFmtId="0">
      <sharedItems containsSemiMixedTypes="0" containsString="0" containsNumber="1" minValue="0" maxValue="21.2910815571922"/>
    </cacheField>
    <cacheField name="Maximum" numFmtId="0">
      <sharedItems containsSemiMixedTypes="0" containsString="0" containsNumber="1" minValue="0" maxValue="171.23763640939799"/>
    </cacheField>
    <cacheField name="NumberObservations" numFmtId="0">
      <sharedItems containsSemiMixedTypes="0" containsString="0" containsNumber="1" containsInteger="1" minValue="276" maxValue="3798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34.388458322004901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34.388458322004901"/>
    </cacheField>
    <cacheField name="MaximumAverage" numFmtId="0">
      <sharedItems containsSemiMixedTypes="0" containsString="0" containsNumber="1" minValue="0" maxValue="34.388458322004901"/>
    </cacheField>
    <cacheField name="OverallMinimum" numFmtId="0">
      <sharedItems containsSemiMixedTypes="0" containsString="0" containsNumber="1" minValue="0" maxValue="21.2910815571922"/>
    </cacheField>
    <cacheField name="OverallMaximum" numFmtId="0">
      <sharedItems containsSemiMixedTypes="0" containsString="0" containsNumber="1" minValue="0" maxValue="171.23763640939799"/>
    </cacheField>
    <cacheField name="AverageNumberObservations" numFmtId="0">
      <sharedItems containsSemiMixedTypes="0" containsString="0" containsNumber="1" containsInteger="1" minValue="276" maxValue="3798"/>
    </cacheField>
    <cacheField name="SummaryHalfWidth" numFmtId="0">
      <sharedItems containsSemiMixedTypes="0" containsString="0" containsNumber="1" minValue="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75.945399537035" createdVersion="7" refreshedVersion="8" minRefreshableVersion="3" recordCount="13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91">
        <s v="Kontrollant.NumberSeized"/>
        <s v="Kontrollant.ScheduledUtilization"/>
        <s v="System.NumberOut"/>
        <s v="flakt.NumberIn"/>
        <s v="flakt.NumberOut"/>
        <s v="op1.NumberSeized"/>
        <s v="op1.ScheduledUtilization"/>
        <s v="op2.NumberSeized"/>
        <s v="op2.ScheduledUtilization"/>
        <s v="op3.NumberSeized"/>
        <s v="op3.ScheduledUtilization"/>
        <s v="op4.NumberSeized"/>
        <s v="op4.ScheduledUtilization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Out"/>
        <s v="Number In"/>
        <m u="1"/>
        <s v="Accum VA Time" u="1"/>
        <s v="Accum Wait Time" u="1"/>
      </sharedItems>
    </cacheField>
    <cacheField name="Source" numFmtId="0">
      <sharedItems containsBlank="1" count="5">
        <s v="Resource"/>
        <s v="System"/>
        <s v="Entity"/>
        <m u="1"/>
        <s v="Process" u="1"/>
      </sharedItems>
    </cacheField>
    <cacheField name="RecordedValue" numFmtId="0">
      <sharedItems containsSemiMixedTypes="0" containsString="0" containsNumber="1" minValue="0.75760022251051695" maxValue="3798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75760022251051695" maxValue="3798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75760022251051695" maxValue="3798"/>
    </cacheField>
    <cacheField name="Maximum" numFmtId="0">
      <sharedItems containsSemiMixedTypes="0" containsString="0" containsNumber="1" minValue="0.75760022251051695" maxValue="37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s v="2026-02-22 22:41:12"/>
    <n v="1"/>
    <x v="0"/>
    <x v="0"/>
    <x v="0"/>
    <n v="0.21711371256158801"/>
    <n v="1.76818642817228E-2"/>
    <n v="0"/>
    <n v="3"/>
    <n v="0"/>
    <n v="0"/>
    <s v="Unnamed ProjectInspektion.QueueNumber WaitingQueue"/>
    <n v="1"/>
    <n v="0.21711371256158801"/>
    <n v="0"/>
    <n v="0.95"/>
    <n v="4E+20"/>
    <n v="0.21711371256158801"/>
    <n v="0.21711371256158801"/>
    <n v="1.76818642817228E-2"/>
  </r>
  <r>
    <x v="0"/>
    <s v="2026-02-22 22:41:12"/>
    <n v="1"/>
    <x v="1"/>
    <x v="1"/>
    <x v="1"/>
    <n v="0.75760022251051695"/>
    <n v="9.4627315756569408E-3"/>
    <n v="0"/>
    <n v="1"/>
    <n v="1"/>
    <n v="0"/>
    <s v="Unnamed ProjectKontrollantInstantaneous UtilizationResource"/>
    <n v="1"/>
    <n v="0.75760022251051695"/>
    <n v="0"/>
    <n v="0.95"/>
    <n v="4E+20"/>
    <n v="0.75760022251051695"/>
    <n v="0.75760022251051695"/>
    <n v="9.4627315756569408E-3"/>
  </r>
  <r>
    <x v="0"/>
    <s v="2026-02-22 22:41:12"/>
    <n v="1"/>
    <x v="1"/>
    <x v="2"/>
    <x v="1"/>
    <n v="0.75760022251051695"/>
    <n v="9.4627315756569408E-3"/>
    <n v="0"/>
    <n v="1"/>
    <n v="1"/>
    <n v="0"/>
    <s v="Unnamed ProjectKontrollantNumber BusyResource"/>
    <n v="1"/>
    <n v="0.75760022251051695"/>
    <n v="0"/>
    <n v="0.95"/>
    <n v="4E+20"/>
    <n v="0.75760022251051695"/>
    <n v="0.75760022251051695"/>
    <n v="9.4627315756569408E-3"/>
  </r>
  <r>
    <x v="0"/>
    <s v="2026-02-22 22:41:12"/>
    <n v="1"/>
    <x v="1"/>
    <x v="3"/>
    <x v="1"/>
    <n v="1"/>
    <n v="2E+20"/>
    <n v="1"/>
    <n v="1"/>
    <n v="1"/>
    <n v="0"/>
    <s v="Unnamed ProjectKontrollantNumber ScheduledResource"/>
    <n v="1"/>
    <n v="1"/>
    <n v="0"/>
    <n v="0.95"/>
    <n v="4E+20"/>
    <n v="1"/>
    <n v="1"/>
    <n v="2E+20"/>
  </r>
  <r>
    <x v="0"/>
    <s v="2026-02-22 22:41:12"/>
    <n v="1"/>
    <x v="2"/>
    <x v="0"/>
    <x v="0"/>
    <n v="0.175606888687766"/>
    <n v="2.1288457995554001E-2"/>
    <n v="0"/>
    <n v="3"/>
    <n v="0"/>
    <n v="0"/>
    <s v="Unnamed ProjectReparation.QueueNumber WaitingQueue"/>
    <n v="1"/>
    <n v="0.175606888687766"/>
    <n v="0"/>
    <n v="0.95"/>
    <n v="4E+20"/>
    <n v="0.175606888687766"/>
    <n v="0.175606888687766"/>
    <n v="2.1288457995554001E-2"/>
  </r>
  <r>
    <x v="0"/>
    <s v="2026-02-22 22:41:12"/>
    <n v="1"/>
    <x v="3"/>
    <x v="4"/>
    <x v="2"/>
    <n v="6.0585344173849398"/>
    <n v="3E+20"/>
    <n v="0"/>
    <n v="13"/>
    <n v="6"/>
    <n v="0"/>
    <s v="Unnamed ProjectflaktWIPEntity"/>
    <n v="1"/>
    <n v="6.0585344173849398"/>
    <n v="0"/>
    <n v="0.95"/>
    <n v="4E+20"/>
    <n v="6.0585344173849398"/>
    <n v="6.0585344173849398"/>
    <n v="3E+20"/>
  </r>
  <r>
    <x v="0"/>
    <s v="2026-02-22 22:41:12"/>
    <n v="1"/>
    <x v="4"/>
    <x v="0"/>
    <x v="0"/>
    <n v="0.77251894849450498"/>
    <n v="3E+20"/>
    <n v="0"/>
    <n v="8"/>
    <n v="1"/>
    <n v="0"/>
    <s v="Unnamed Projectmontering.QueueNumber WaitingQueue"/>
    <n v="1"/>
    <n v="0.77251894849450498"/>
    <n v="0"/>
    <n v="0.95"/>
    <n v="4E+20"/>
    <n v="0.77251894849450498"/>
    <n v="0.77251894849450498"/>
    <n v="3E+20"/>
  </r>
  <r>
    <x v="0"/>
    <s v="2026-02-22 22:41:12"/>
    <n v="1"/>
    <x v="5"/>
    <x v="1"/>
    <x v="1"/>
    <n v="0.90833548313923096"/>
    <n v="1.4002941562353301E-2"/>
    <n v="0"/>
    <n v="1"/>
    <n v="1"/>
    <n v="0"/>
    <s v="Unnamed Projectop1Instantaneous UtilizationResource"/>
    <n v="1"/>
    <n v="0.90833548313923096"/>
    <n v="0"/>
    <n v="0.95"/>
    <n v="4E+20"/>
    <n v="0.90833548313923096"/>
    <n v="0.90833548313923096"/>
    <n v="1.4002941562353301E-2"/>
  </r>
  <r>
    <x v="0"/>
    <s v="2026-02-22 22:41:12"/>
    <n v="1"/>
    <x v="5"/>
    <x v="2"/>
    <x v="1"/>
    <n v="0.90833548313923096"/>
    <n v="1.4002941562353301E-2"/>
    <n v="0"/>
    <n v="1"/>
    <n v="1"/>
    <n v="0"/>
    <s v="Unnamed Projectop1Number BusyResource"/>
    <n v="1"/>
    <n v="0.90833548313923096"/>
    <n v="0"/>
    <n v="0.95"/>
    <n v="4E+20"/>
    <n v="0.90833548313923096"/>
    <n v="0.90833548313923096"/>
    <n v="1.4002941562353301E-2"/>
  </r>
  <r>
    <x v="0"/>
    <s v="2026-02-22 22:41:12"/>
    <n v="1"/>
    <x v="5"/>
    <x v="3"/>
    <x v="1"/>
    <n v="1"/>
    <n v="2E+20"/>
    <n v="1"/>
    <n v="1"/>
    <n v="1"/>
    <n v="0"/>
    <s v="Unnamed Projectop1Number ScheduledResource"/>
    <n v="1"/>
    <n v="1"/>
    <n v="0"/>
    <n v="0.95"/>
    <n v="4E+20"/>
    <n v="1"/>
    <n v="1"/>
    <n v="2E+20"/>
  </r>
  <r>
    <x v="0"/>
    <s v="2026-02-22 22:41:12"/>
    <n v="1"/>
    <x v="6"/>
    <x v="1"/>
    <x v="1"/>
    <n v="0.93106258000748998"/>
    <n v="1.36414182535691E-2"/>
    <n v="0"/>
    <n v="1"/>
    <n v="1"/>
    <n v="0"/>
    <s v="Unnamed Projectop2Instantaneous UtilizationResource"/>
    <n v="1"/>
    <n v="0.93106258000748998"/>
    <n v="0"/>
    <n v="0.95"/>
    <n v="4E+20"/>
    <n v="0.93106258000748998"/>
    <n v="0.93106258000748998"/>
    <n v="1.36414182535691E-2"/>
  </r>
  <r>
    <x v="0"/>
    <s v="2026-02-22 22:41:12"/>
    <n v="1"/>
    <x v="6"/>
    <x v="2"/>
    <x v="1"/>
    <n v="0.93106258000748998"/>
    <n v="1.36414182535691E-2"/>
    <n v="0"/>
    <n v="1"/>
    <n v="1"/>
    <n v="0"/>
    <s v="Unnamed Projectop2Number BusyResource"/>
    <n v="1"/>
    <n v="0.93106258000748998"/>
    <n v="0"/>
    <n v="0.95"/>
    <n v="4E+20"/>
    <n v="0.93106258000748998"/>
    <n v="0.93106258000748998"/>
    <n v="1.36414182535691E-2"/>
  </r>
  <r>
    <x v="0"/>
    <s v="2026-02-22 22:41:12"/>
    <n v="1"/>
    <x v="6"/>
    <x v="3"/>
    <x v="1"/>
    <n v="1"/>
    <n v="2E+20"/>
    <n v="1"/>
    <n v="1"/>
    <n v="1"/>
    <n v="0"/>
    <s v="Unnamed Projectop2Number ScheduledResource"/>
    <n v="1"/>
    <n v="1"/>
    <n v="0"/>
    <n v="0.95"/>
    <n v="4E+20"/>
    <n v="1"/>
    <n v="1"/>
    <n v="2E+20"/>
  </r>
  <r>
    <x v="0"/>
    <s v="2026-02-22 22:41:12"/>
    <n v="1"/>
    <x v="7"/>
    <x v="1"/>
    <x v="1"/>
    <n v="0.93870809472566796"/>
    <n v="1.1234243196289099E-2"/>
    <n v="0"/>
    <n v="1"/>
    <n v="1"/>
    <n v="0"/>
    <s v="Unnamed Projectop3Instantaneous UtilizationResource"/>
    <n v="1"/>
    <n v="0.93870809472566796"/>
    <n v="0"/>
    <n v="0.95"/>
    <n v="4E+20"/>
    <n v="0.93870809472566796"/>
    <n v="0.93870809472566796"/>
    <n v="1.1234243196289099E-2"/>
  </r>
  <r>
    <x v="0"/>
    <s v="2026-02-22 22:41:12"/>
    <n v="1"/>
    <x v="7"/>
    <x v="2"/>
    <x v="1"/>
    <n v="0.93870809472566796"/>
    <n v="1.1234243196289099E-2"/>
    <n v="0"/>
    <n v="1"/>
    <n v="1"/>
    <n v="0"/>
    <s v="Unnamed Projectop3Number BusyResource"/>
    <n v="1"/>
    <n v="0.93870809472566796"/>
    <n v="0"/>
    <n v="0.95"/>
    <n v="4E+20"/>
    <n v="0.93870809472566796"/>
    <n v="0.93870809472566796"/>
    <n v="1.1234243196289099E-2"/>
  </r>
  <r>
    <x v="0"/>
    <s v="2026-02-22 22:41:12"/>
    <n v="1"/>
    <x v="7"/>
    <x v="3"/>
    <x v="1"/>
    <n v="1"/>
    <n v="2E+20"/>
    <n v="1"/>
    <n v="1"/>
    <n v="1"/>
    <n v="0"/>
    <s v="Unnamed Projectop3Number ScheduledResource"/>
    <n v="1"/>
    <n v="1"/>
    <n v="0"/>
    <n v="0.95"/>
    <n v="4E+20"/>
    <n v="1"/>
    <n v="1"/>
    <n v="2E+20"/>
  </r>
  <r>
    <x v="0"/>
    <s v="2026-02-22 22:41:12"/>
    <n v="1"/>
    <x v="8"/>
    <x v="1"/>
    <x v="1"/>
    <n v="0.94013098899391101"/>
    <n v="3E+20"/>
    <n v="0"/>
    <n v="1"/>
    <n v="1"/>
    <n v="0"/>
    <s v="Unnamed Projectop4Instantaneous UtilizationResource"/>
    <n v="1"/>
    <n v="0.94013098899391101"/>
    <n v="0"/>
    <n v="0.95"/>
    <n v="4E+20"/>
    <n v="0.94013098899391101"/>
    <n v="0.94013098899391101"/>
    <n v="3E+20"/>
  </r>
  <r>
    <x v="0"/>
    <s v="2026-02-22 22:41:12"/>
    <n v="1"/>
    <x v="8"/>
    <x v="2"/>
    <x v="1"/>
    <n v="0.94013098899391101"/>
    <n v="3E+20"/>
    <n v="0"/>
    <n v="1"/>
    <n v="1"/>
    <n v="0"/>
    <s v="Unnamed Projectop4Number BusyResource"/>
    <n v="1"/>
    <n v="0.94013098899391101"/>
    <n v="0"/>
    <n v="0.95"/>
    <n v="4E+20"/>
    <n v="0.94013098899391101"/>
    <n v="0.94013098899391101"/>
    <n v="3E+20"/>
  </r>
  <r>
    <x v="0"/>
    <s v="2026-02-22 22:41:12"/>
    <n v="1"/>
    <x v="8"/>
    <x v="3"/>
    <x v="1"/>
    <n v="1"/>
    <n v="2E+20"/>
    <n v="1"/>
    <n v="1"/>
    <n v="1"/>
    <n v="0"/>
    <s v="Unnamed Projectop4Number ScheduledResource"/>
    <n v="1"/>
    <n v="1"/>
    <n v="0"/>
    <n v="0.95"/>
    <n v="4E+20"/>
    <n v="1"/>
    <n v="1"/>
    <n v="2E+2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s v="2026-02-22 22:41:12"/>
    <n v="1"/>
    <x v="0"/>
    <x v="0"/>
    <x v="0"/>
    <n v="0"/>
    <n v="0"/>
    <n v="0"/>
    <n v="0"/>
    <n v="3521"/>
    <s v="Unnamed ProjectflaktNVA TimeEntity"/>
    <n v="1"/>
    <n v="0"/>
    <n v="0"/>
    <n v="0.95"/>
    <n v="4E+20"/>
    <n v="0"/>
    <n v="0"/>
    <n v="0"/>
    <n v="0"/>
    <n v="3521"/>
    <n v="0"/>
    <n v="1"/>
    <n v="1"/>
  </r>
  <r>
    <x v="0"/>
    <s v="2026-02-22 22:41:12"/>
    <n v="1"/>
    <x v="0"/>
    <x v="1"/>
    <x v="0"/>
    <n v="0"/>
    <n v="0"/>
    <n v="0"/>
    <n v="0"/>
    <n v="3521"/>
    <s v="Unnamed ProjectflaktOther TimeEntity"/>
    <n v="1"/>
    <n v="0"/>
    <n v="0"/>
    <n v="0.95"/>
    <n v="4E+20"/>
    <n v="0"/>
    <n v="0"/>
    <n v="0"/>
    <n v="0"/>
    <n v="3521"/>
    <n v="0"/>
    <n v="1"/>
    <n v="1"/>
  </r>
  <r>
    <x v="0"/>
    <s v="2026-02-22 22:41:12"/>
    <n v="1"/>
    <x v="0"/>
    <x v="2"/>
    <x v="0"/>
    <n v="34.388458322004901"/>
    <n v="1.61757789793354"/>
    <n v="21.2910815571922"/>
    <n v="171.23763640939799"/>
    <n v="3521"/>
    <s v="Unnamed ProjectflaktTotal TimeEntity"/>
    <n v="1"/>
    <n v="34.388458322004901"/>
    <n v="0"/>
    <n v="0.95"/>
    <n v="4E+20"/>
    <n v="34.388458322004901"/>
    <n v="34.388458322004901"/>
    <n v="21.2910815571922"/>
    <n v="171.23763640939799"/>
    <n v="3521"/>
    <n v="1.61757789793354"/>
    <n v="1"/>
    <n v="1"/>
  </r>
  <r>
    <x v="0"/>
    <s v="2026-02-22 22:41:12"/>
    <n v="1"/>
    <x v="0"/>
    <x v="3"/>
    <x v="0"/>
    <n v="2.3694460285993801"/>
    <n v="1.9636356744910401E-2"/>
    <n v="1.5652403381282101"/>
    <n v="6.54765437636161"/>
    <n v="3521"/>
    <s v="Unnamed ProjectflaktTransfer TimeEntity"/>
    <n v="1"/>
    <n v="2.3694460285993801"/>
    <n v="0"/>
    <n v="0.95"/>
    <n v="4E+20"/>
    <n v="2.3694460285993801"/>
    <n v="2.3694460285993801"/>
    <n v="1.5652403381282101"/>
    <n v="6.54765437636161"/>
    <n v="3521"/>
    <n v="1.9636356744910401E-2"/>
    <n v="1"/>
    <n v="1"/>
  </r>
  <r>
    <x v="0"/>
    <s v="2026-02-22 22:41:12"/>
    <n v="1"/>
    <x v="0"/>
    <x v="4"/>
    <x v="0"/>
    <n v="25.404144955782201"/>
    <n v="0.27464848594997399"/>
    <n v="18.494733652058098"/>
    <n v="110.270630318326"/>
    <n v="3521"/>
    <s v="Unnamed ProjectflaktVA TimeEntity"/>
    <n v="1"/>
    <n v="25.404144955782201"/>
    <n v="0"/>
    <n v="0.95"/>
    <n v="4E+20"/>
    <n v="25.404144955782201"/>
    <n v="25.404144955782201"/>
    <n v="18.494733652058098"/>
    <n v="110.270630318326"/>
    <n v="3521"/>
    <n v="0.27464848594997399"/>
    <n v="1"/>
    <n v="1"/>
  </r>
  <r>
    <x v="0"/>
    <s v="2026-02-22 22:41:12"/>
    <n v="1"/>
    <x v="0"/>
    <x v="5"/>
    <x v="0"/>
    <n v="6.6148673376234104"/>
    <n v="1.44405282231642"/>
    <n v="0"/>
    <n v="59.193142092292"/>
    <n v="3521"/>
    <s v="Unnamed ProjectflaktWait TimeEntity"/>
    <n v="1"/>
    <n v="6.6148673376234104"/>
    <n v="0"/>
    <n v="0.95"/>
    <n v="4E+20"/>
    <n v="6.6148673376234104"/>
    <n v="6.6148673376234104"/>
    <n v="0"/>
    <n v="59.193142092292"/>
    <n v="3521"/>
    <n v="1.44405282231642"/>
    <n v="1"/>
    <n v="1"/>
  </r>
  <r>
    <x v="0"/>
    <s v="2026-02-22 22:41:12"/>
    <n v="1"/>
    <x v="1"/>
    <x v="6"/>
    <x v="1"/>
    <n v="1.14330549005575"/>
    <n v="9.9057899878945505E-2"/>
    <n v="0"/>
    <n v="10.8891291594409"/>
    <n v="3798"/>
    <s v="Unnamed ProjectInspektion.QueueWaiting TimeQueue"/>
    <n v="1"/>
    <n v="1.14330549005575"/>
    <n v="0"/>
    <n v="0.95"/>
    <n v="4E+20"/>
    <n v="1.14330549005575"/>
    <n v="1.14330549005575"/>
    <n v="0"/>
    <n v="10.8891291594409"/>
    <n v="3798"/>
    <n v="9.9057899878945505E-2"/>
    <n v="1"/>
    <n v="1"/>
  </r>
  <r>
    <x v="0"/>
    <s v="2026-02-22 22:41:12"/>
    <n v="1"/>
    <x v="2"/>
    <x v="6"/>
    <x v="1"/>
    <n v="4.3816012635289097"/>
    <n v="1.30940570500144"/>
    <n v="0"/>
    <n v="36.809140044952102"/>
    <n v="3526"/>
    <s v="Unnamed Projectmontering.QueueWaiting TimeQueue"/>
    <n v="1"/>
    <n v="4.3816012635289097"/>
    <n v="0"/>
    <n v="0.95"/>
    <n v="4E+20"/>
    <n v="4.3816012635289097"/>
    <n v="4.3816012635289097"/>
    <n v="0"/>
    <n v="36.809140044952102"/>
    <n v="3526"/>
    <n v="1.30940570500144"/>
    <n v="1"/>
    <n v="1"/>
  </r>
  <r>
    <x v="0"/>
    <s v="2026-02-22 22:41:12"/>
    <n v="1"/>
    <x v="3"/>
    <x v="6"/>
    <x v="1"/>
    <n v="12.725136861432301"/>
    <n v="2E+20"/>
    <n v="0"/>
    <n v="24.189084011915799"/>
    <n v="276"/>
    <s v="Unnamed ProjectReparation.QueueWaiting TimeQueue"/>
    <n v="1"/>
    <n v="12.725136861432301"/>
    <n v="0"/>
    <n v="0.95"/>
    <n v="4E+20"/>
    <n v="12.725136861432301"/>
    <n v="12.725136861432301"/>
    <n v="0"/>
    <n v="24.189084011915799"/>
    <n v="276"/>
    <n v="2E+20"/>
    <n v="1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s v="2026-02-22 22:41:12"/>
    <n v="1"/>
    <x v="0"/>
    <x v="0"/>
    <x v="0"/>
    <n v="3798"/>
    <n v="0"/>
    <s v="Unnamed ProjectKontrollant.NumberSeizedTotal Number SeizedResource"/>
    <n v="1"/>
    <n v="3798"/>
    <n v="0"/>
    <n v="0.95"/>
    <n v="4E+20"/>
    <n v="3798"/>
    <n v="3798"/>
  </r>
  <r>
    <x v="0"/>
    <s v="2026-02-22 22:41:12"/>
    <n v="1"/>
    <x v="1"/>
    <x v="1"/>
    <x v="0"/>
    <n v="0.75760022251051695"/>
    <n v="0"/>
    <s v="Unnamed ProjectKontrollant.ScheduledUtilizationScheduled UtilizationResource"/>
    <n v="1"/>
    <n v="0.75760022251051695"/>
    <n v="0"/>
    <n v="0.95"/>
    <n v="4E+20"/>
    <n v="0.75760022251051695"/>
    <n v="0.75760022251051695"/>
  </r>
  <r>
    <x v="0"/>
    <s v="2026-02-22 22:41:12"/>
    <n v="1"/>
    <x v="2"/>
    <x v="2"/>
    <x v="1"/>
    <n v="3521"/>
    <n v="0"/>
    <s v="Unnamed ProjectSystem.NumberOutNumber OutSystem"/>
    <n v="1"/>
    <n v="3521"/>
    <n v="0"/>
    <n v="0.95"/>
    <n v="4E+20"/>
    <n v="3521"/>
    <n v="3521"/>
  </r>
  <r>
    <x v="0"/>
    <s v="2026-02-22 22:41:12"/>
    <n v="1"/>
    <x v="3"/>
    <x v="3"/>
    <x v="2"/>
    <n v="3527"/>
    <n v="0"/>
    <s v="Unnamed Projectflakt.NumberInNumber InEntity"/>
    <n v="1"/>
    <n v="3527"/>
    <n v="0"/>
    <n v="0.95"/>
    <n v="4E+20"/>
    <n v="3527"/>
    <n v="3527"/>
  </r>
  <r>
    <x v="0"/>
    <s v="2026-02-22 22:41:12"/>
    <n v="1"/>
    <x v="4"/>
    <x v="2"/>
    <x v="2"/>
    <n v="3521"/>
    <n v="0"/>
    <s v="Unnamed Projectflakt.NumberOutNumber OutEntity"/>
    <n v="1"/>
    <n v="3521"/>
    <n v="0"/>
    <n v="0.95"/>
    <n v="4E+20"/>
    <n v="3521"/>
    <n v="3521"/>
  </r>
  <r>
    <x v="0"/>
    <s v="2026-02-22 22:41:12"/>
    <n v="1"/>
    <x v="5"/>
    <x v="0"/>
    <x v="0"/>
    <n v="1010"/>
    <n v="0"/>
    <s v="Unnamed Projectop1.NumberSeizedTotal Number SeizedResource"/>
    <n v="1"/>
    <n v="1010"/>
    <n v="0"/>
    <n v="0.95"/>
    <n v="4E+20"/>
    <n v="1010"/>
    <n v="1010"/>
  </r>
  <r>
    <x v="0"/>
    <s v="2026-02-22 22:41:12"/>
    <n v="1"/>
    <x v="6"/>
    <x v="1"/>
    <x v="0"/>
    <n v="0.90833548313923096"/>
    <n v="0"/>
    <s v="Unnamed Projectop1.ScheduledUtilizationScheduled UtilizationResource"/>
    <n v="1"/>
    <n v="0.90833548313923096"/>
    <n v="0"/>
    <n v="0.95"/>
    <n v="4E+20"/>
    <n v="0.90833548313923096"/>
    <n v="0.90833548313923096"/>
  </r>
  <r>
    <x v="0"/>
    <s v="2026-02-22 22:41:12"/>
    <n v="1"/>
    <x v="7"/>
    <x v="0"/>
    <x v="0"/>
    <n v="952"/>
    <n v="0"/>
    <s v="Unnamed Projectop2.NumberSeizedTotal Number SeizedResource"/>
    <n v="1"/>
    <n v="952"/>
    <n v="0"/>
    <n v="0.95"/>
    <n v="4E+20"/>
    <n v="952"/>
    <n v="952"/>
  </r>
  <r>
    <x v="0"/>
    <s v="2026-02-22 22:41:12"/>
    <n v="1"/>
    <x v="8"/>
    <x v="1"/>
    <x v="0"/>
    <n v="0.93106258000748998"/>
    <n v="0"/>
    <s v="Unnamed Projectop2.ScheduledUtilizationScheduled UtilizationResource"/>
    <n v="1"/>
    <n v="0.93106258000748998"/>
    <n v="0"/>
    <n v="0.95"/>
    <n v="4E+20"/>
    <n v="0.93106258000748998"/>
    <n v="0.93106258000748998"/>
  </r>
  <r>
    <x v="0"/>
    <s v="2026-02-22 22:41:12"/>
    <n v="1"/>
    <x v="9"/>
    <x v="0"/>
    <x v="0"/>
    <n v="922"/>
    <n v="0"/>
    <s v="Unnamed Projectop3.NumberSeizedTotal Number SeizedResource"/>
    <n v="1"/>
    <n v="922"/>
    <n v="0"/>
    <n v="0.95"/>
    <n v="4E+20"/>
    <n v="922"/>
    <n v="922"/>
  </r>
  <r>
    <x v="0"/>
    <s v="2026-02-22 22:41:12"/>
    <n v="1"/>
    <x v="10"/>
    <x v="1"/>
    <x v="0"/>
    <n v="0.93870809472566796"/>
    <n v="0"/>
    <s v="Unnamed Projectop3.ScheduledUtilizationScheduled UtilizationResource"/>
    <n v="1"/>
    <n v="0.93870809472566796"/>
    <n v="0"/>
    <n v="0.95"/>
    <n v="4E+20"/>
    <n v="0.93870809472566796"/>
    <n v="0.93870809472566796"/>
  </r>
  <r>
    <x v="0"/>
    <s v="2026-02-22 22:41:12"/>
    <n v="1"/>
    <x v="11"/>
    <x v="0"/>
    <x v="0"/>
    <n v="918"/>
    <n v="0"/>
    <s v="Unnamed Projectop4.NumberSeizedTotal Number SeizedResource"/>
    <n v="1"/>
    <n v="918"/>
    <n v="0"/>
    <n v="0.95"/>
    <n v="4E+20"/>
    <n v="918"/>
    <n v="918"/>
  </r>
  <r>
    <x v="0"/>
    <s v="2026-02-22 22:41:12"/>
    <n v="1"/>
    <x v="12"/>
    <x v="1"/>
    <x v="0"/>
    <n v="0.94013098899391101"/>
    <n v="0"/>
    <s v="Unnamed Projectop4.ScheduledUtilizationScheduled UtilizationResource"/>
    <n v="1"/>
    <n v="0.94013098899391101"/>
    <n v="0"/>
    <n v="0.95"/>
    <n v="4E+20"/>
    <n v="0.94013098899391101"/>
    <n v="0.940130988993911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19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19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21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3">
        <item m="1" x="24"/>
        <item m="1" x="15"/>
        <item m="1" x="31"/>
        <item m="1" x="40"/>
        <item m="1" x="53"/>
        <item m="1" x="52"/>
        <item m="1" x="16"/>
        <item m="1" x="117"/>
        <item m="1" x="95"/>
        <item m="1" x="58"/>
        <item m="1" x="45"/>
        <item m="1" x="49"/>
        <item m="1" x="131"/>
        <item m="1" x="34"/>
        <item m="1" x="116"/>
        <item m="1" x="38"/>
        <item m="1" x="89"/>
        <item m="1" x="103"/>
        <item m="1" x="13"/>
        <item m="1" x="39"/>
        <item m="1" x="126"/>
        <item m="1" x="28"/>
        <item m="1" x="118"/>
        <item m="1" x="17"/>
        <item m="1" x="44"/>
        <item m="1" x="70"/>
        <item m="1" x="14"/>
        <item m="1" x="20"/>
        <item m="1" x="90"/>
        <item m="1" x="71"/>
        <item m="1" x="105"/>
        <item m="1" x="61"/>
        <item m="1" x="25"/>
        <item m="1" x="55"/>
        <item m="1" x="91"/>
        <item m="1" x="76"/>
        <item m="1" x="26"/>
        <item m="1" x="36"/>
        <item m="1" x="98"/>
        <item m="1" x="12"/>
        <item m="1" x="125"/>
        <item m="1" x="83"/>
        <item m="1" x="23"/>
        <item m="1" x="108"/>
        <item m="1" x="54"/>
        <item m="1" x="127"/>
        <item m="1" x="88"/>
        <item m="1" x="30"/>
        <item m="1" x="75"/>
        <item m="1" x="94"/>
        <item m="1" x="107"/>
        <item m="1" x="115"/>
        <item m="1" x="124"/>
        <item m="1" x="11"/>
        <item m="1" x="29"/>
        <item m="1" x="43"/>
        <item m="1" x="32"/>
        <item m="1" x="10"/>
        <item m="1" x="104"/>
        <item m="1" x="121"/>
        <item m="1" x="47"/>
        <item m="1" x="82"/>
        <item m="1" x="35"/>
        <item m="1" x="56"/>
        <item m="1" x="41"/>
        <item m="1" x="65"/>
        <item m="1" x="50"/>
        <item m="1" x="72"/>
        <item m="1" x="57"/>
        <item m="1" x="84"/>
        <item m="1" x="66"/>
        <item m="1" x="92"/>
        <item m="1" x="73"/>
        <item m="1" x="101"/>
        <item m="1" x="85"/>
        <item m="1" x="106"/>
        <item m="1" x="93"/>
        <item m="1" x="110"/>
        <item m="1" x="122"/>
        <item m="1" x="112"/>
        <item m="1" x="96"/>
        <item m="1" x="69"/>
        <item m="1" x="48"/>
        <item m="1" x="63"/>
        <item m="1" x="27"/>
        <item m="1" x="33"/>
        <item m="1" x="42"/>
        <item m="1" x="46"/>
        <item m="1" x="78"/>
        <item m="1" x="123"/>
        <item m="1" x="113"/>
        <item m="1" x="97"/>
        <item m="1" x="64"/>
        <item m="1" x="132"/>
        <item m="1" x="80"/>
        <item m="1" x="68"/>
        <item m="1" x="100"/>
        <item m="1" x="81"/>
        <item m="1" x="60"/>
        <item m="1" x="67"/>
        <item m="1" x="21"/>
        <item m="1" x="86"/>
        <item m="1" x="102"/>
        <item m="1" x="111"/>
        <item m="1" x="119"/>
        <item m="1" x="130"/>
        <item m="1" x="18"/>
        <item m="1" x="37"/>
        <item m="1" x="129"/>
        <item m="1" x="19"/>
        <item m="1" x="87"/>
        <item m="1" x="62"/>
        <item m="1" x="77"/>
        <item m="1" x="22"/>
        <item m="1" x="128"/>
        <item m="1" x="109"/>
        <item m="1" x="59"/>
        <item m="1" x="120"/>
        <item m="1" x="79"/>
        <item m="1" x="99"/>
        <item m="1" x="114"/>
        <item m="1" x="51"/>
        <item m="1" x="74"/>
        <item m="1" x="9"/>
        <item x="0"/>
        <item x="1"/>
        <item x="2"/>
        <item x="3"/>
        <item x="4"/>
        <item x="5"/>
        <item x="6"/>
        <item x="7"/>
        <item x="8"/>
      </items>
    </pivotField>
    <pivotField axis="axisRow" compact="0" outline="0" showAll="0" defaultSubtotal="0">
      <items count="7">
        <item x="1"/>
        <item x="2"/>
        <item x="3"/>
        <item x="0"/>
        <item x="4"/>
        <item m="1" x="6"/>
        <item m="1" x="5"/>
      </items>
    </pivotField>
    <pivotField axis="axisRow" compact="0" outline="0" showAll="0" defaultSubtotal="0">
      <items count="5">
        <item x="2"/>
        <item x="0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9">
    <i>
      <x v="3"/>
      <x v="124"/>
      <x v="3"/>
      <x v="1"/>
    </i>
    <i r="1">
      <x v="125"/>
      <x/>
      <x v="2"/>
    </i>
    <i r="2">
      <x v="1"/>
      <x v="2"/>
    </i>
    <i r="2">
      <x v="2"/>
      <x v="2"/>
    </i>
    <i r="1">
      <x v="126"/>
      <x v="3"/>
      <x v="1"/>
    </i>
    <i r="1">
      <x v="127"/>
      <x v="4"/>
      <x/>
    </i>
    <i r="1">
      <x v="128"/>
      <x v="3"/>
      <x v="1"/>
    </i>
    <i r="1">
      <x v="129"/>
      <x/>
      <x v="2"/>
    </i>
    <i r="2">
      <x v="1"/>
      <x v="2"/>
    </i>
    <i r="2">
      <x v="2"/>
      <x v="2"/>
    </i>
    <i r="1">
      <x v="130"/>
      <x/>
      <x v="2"/>
    </i>
    <i r="2">
      <x v="1"/>
      <x v="2"/>
    </i>
    <i r="2">
      <x v="2"/>
      <x v="2"/>
    </i>
    <i r="1">
      <x v="131"/>
      <x/>
      <x v="2"/>
    </i>
    <i r="2">
      <x v="1"/>
      <x v="2"/>
    </i>
    <i r="2">
      <x v="2"/>
      <x v="2"/>
    </i>
    <i r="1">
      <x v="132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20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21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1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3">
        <item m="1" x="14"/>
        <item m="1" x="37"/>
        <item m="1" x="9"/>
        <item m="1" x="89"/>
        <item m="1" x="72"/>
        <item m="1" x="42"/>
        <item m="1" x="98"/>
        <item m="1" x="30"/>
        <item m="1" x="34"/>
        <item m="1" x="101"/>
        <item m="1" x="67"/>
        <item m="1" x="79"/>
        <item m="1" x="84"/>
        <item m="1" x="8"/>
        <item m="1" x="36"/>
        <item m="1" x="26"/>
        <item m="1" x="102"/>
        <item m="1" x="96"/>
        <item m="1" x="24"/>
        <item m="1" x="18"/>
        <item m="1" x="90"/>
        <item m="1" x="10"/>
        <item m="1" x="43"/>
        <item m="1" x="29"/>
        <item m="1" x="54"/>
        <item m="1" x="81"/>
        <item m="1" x="45"/>
        <item m="1" x="15"/>
        <item m="1" x="39"/>
        <item m="1" x="68"/>
        <item m="1" x="58"/>
        <item m="1" x="16"/>
        <item m="1" x="75"/>
        <item m="1" x="7"/>
        <item m="1" x="95"/>
        <item m="1" x="63"/>
        <item m="1" x="83"/>
        <item m="1" x="38"/>
        <item m="1" x="97"/>
        <item m="1" x="66"/>
        <item m="1" x="20"/>
        <item m="1" x="57"/>
        <item m="1" x="71"/>
        <item m="1" x="82"/>
        <item m="1" x="88"/>
        <item m="1" x="6"/>
        <item m="1" x="19"/>
        <item m="1" x="28"/>
        <item m="1" x="21"/>
        <item m="1" x="5"/>
        <item m="1" x="80"/>
        <item m="1" x="92"/>
        <item m="1" x="32"/>
        <item m="1" x="62"/>
        <item m="1" x="23"/>
        <item m="1" x="40"/>
        <item m="1" x="27"/>
        <item m="1" x="48"/>
        <item m="1" x="35"/>
        <item m="1" x="55"/>
        <item m="1" x="41"/>
        <item m="1" x="64"/>
        <item m="1" x="49"/>
        <item m="1" x="69"/>
        <item m="1" x="56"/>
        <item m="1" x="77"/>
        <item m="1" x="70"/>
        <item m="1" x="85"/>
        <item m="1" x="93"/>
        <item m="1" x="73"/>
        <item m="1" x="52"/>
        <item m="1" x="33"/>
        <item m="1" x="46"/>
        <item m="1" x="17"/>
        <item m="1" x="22"/>
        <item m="1" x="31"/>
        <item m="1" x="59"/>
        <item m="1" x="94"/>
        <item m="1" x="87"/>
        <item m="1" x="74"/>
        <item m="1" x="47"/>
        <item m="1" x="60"/>
        <item m="1" x="51"/>
        <item m="1" x="76"/>
        <item m="1" x="61"/>
        <item m="1" x="44"/>
        <item m="1" x="50"/>
        <item m="1" x="13"/>
        <item m="1" x="53"/>
        <item m="1" x="65"/>
        <item m="1" x="78"/>
        <item m="1" x="86"/>
        <item m="1" x="91"/>
        <item m="1" x="100"/>
        <item m="1" x="11"/>
        <item m="1" x="25"/>
        <item m="1" x="99"/>
        <item m="1" x="12"/>
        <item m="1" x="4"/>
        <item x="0"/>
        <item x="1"/>
        <item x="2"/>
        <item x="3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9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  <i r="1">
      <x v="101"/>
      <x v="7"/>
      <x v="1"/>
    </i>
    <i r="1">
      <x v="102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21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5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1">
        <item m="1" x="38"/>
        <item m="1" x="14"/>
        <item m="1" x="39"/>
        <item m="1" x="15"/>
        <item m="1" x="40"/>
        <item m="1" x="16"/>
        <item m="1" x="41"/>
        <item m="1" x="17"/>
        <item m="1" x="73"/>
        <item m="1" x="28"/>
        <item x="2"/>
        <item m="1" x="72"/>
        <item m="1" x="59"/>
        <item m="1" x="76"/>
        <item m="1" x="61"/>
        <item m="1" x="77"/>
        <item m="1" x="84"/>
        <item m="1" x="53"/>
        <item m="1" x="21"/>
        <item m="1" x="70"/>
        <item m="1" x="60"/>
        <item m="1" x="58"/>
        <item m="1" x="24"/>
        <item m="1" x="68"/>
        <item m="1" x="33"/>
        <item m="1" x="69"/>
        <item m="1" x="34"/>
        <item m="1" x="67"/>
        <item m="1" x="87"/>
        <item m="1" x="27"/>
        <item m="1" x="90"/>
        <item m="1" x="55"/>
        <item m="1" x="22"/>
        <item m="1" x="85"/>
        <item m="1" x="80"/>
        <item m="1" x="56"/>
        <item m="1" x="23"/>
        <item m="1" x="86"/>
        <item m="1" x="81"/>
        <item m="1" x="18"/>
        <item m="1" x="52"/>
        <item m="1" x="36"/>
        <item m="1" x="26"/>
        <item m="1" x="78"/>
        <item m="1" x="48"/>
        <item m="1" x="79"/>
        <item m="1" x="49"/>
        <item m="1" x="35"/>
        <item m="1" x="30"/>
        <item m="1" x="57"/>
        <item m="1" x="32"/>
        <item m="1" x="89"/>
        <item m="1" x="82"/>
        <item m="1" x="31"/>
        <item m="1" x="29"/>
        <item m="1" x="74"/>
        <item m="1" x="83"/>
        <item m="1" x="19"/>
        <item m="1" x="37"/>
        <item m="1" x="50"/>
        <item m="1" x="71"/>
        <item m="1" x="88"/>
        <item m="1" x="20"/>
        <item m="1" x="47"/>
        <item m="1" x="51"/>
        <item m="1" x="75"/>
        <item m="1" x="54"/>
        <item m="1" x="25"/>
        <item m="1" x="42"/>
        <item m="1" x="62"/>
        <item m="1" x="43"/>
        <item m="1" x="63"/>
        <item m="1" x="44"/>
        <item m="1" x="64"/>
        <item m="1" x="45"/>
        <item m="1" x="65"/>
        <item m="1" x="46"/>
        <item m="1" x="66"/>
        <item m="1" x="13"/>
        <item x="0"/>
        <item x="1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Row" compact="0" outline="0" showAll="0" defaultSubtotal="0">
      <items count="7">
        <item x="3"/>
        <item x="2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2"/>
        <item x="0"/>
        <item x="1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3">
    <i>
      <x v="3"/>
      <x v="10"/>
      <x v="1"/>
      <x v="2"/>
    </i>
    <i r="1">
      <x v="79"/>
      <x v="3"/>
      <x v="1"/>
    </i>
    <i r="1">
      <x v="80"/>
      <x v="2"/>
      <x v="1"/>
    </i>
    <i r="1">
      <x v="81"/>
      <x/>
      <x/>
    </i>
    <i r="1">
      <x v="82"/>
      <x v="1"/>
      <x/>
    </i>
    <i r="1">
      <x v="83"/>
      <x v="3"/>
      <x v="1"/>
    </i>
    <i r="1">
      <x v="84"/>
      <x v="2"/>
      <x v="1"/>
    </i>
    <i r="1">
      <x v="85"/>
      <x v="3"/>
      <x v="1"/>
    </i>
    <i r="1">
      <x v="86"/>
      <x v="2"/>
      <x v="1"/>
    </i>
    <i r="1">
      <x v="87"/>
      <x v="3"/>
      <x v="1"/>
    </i>
    <i r="1">
      <x v="88"/>
      <x v="2"/>
      <x v="1"/>
    </i>
    <i r="1">
      <x v="89"/>
      <x v="3"/>
      <x v="1"/>
    </i>
    <i r="1">
      <x v="90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0" tableType="queryTable" totalsRowShown="0">
  <autoFilter ref="A1:Y10" xr:uid="{C3D003CA-1AFF-426C-A03D-D3AF5760DF1A}"/>
  <sortState xmlns:xlrd2="http://schemas.microsoft.com/office/spreadsheetml/2017/richdata2" ref="A2:Y10">
    <sortCondition ref="D1:D10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0" tableType="queryTable" totalsRowShown="0">
  <autoFilter ref="A1:U20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4" tableType="queryTable" totalsRowShown="0">
  <autoFilter ref="A1:P14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Office 2013 – 2022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B4" sqref="B4"/>
    </sheetView>
  </sheetViews>
  <sheetFormatPr defaultRowHeight="14.5" x14ac:dyDescent="0.35"/>
  <cols>
    <col min="1" max="1" width="15.26953125" bestFit="1" customWidth="1"/>
    <col min="2" max="2" width="80.7265625" bestFit="1" customWidth="1"/>
    <col min="3" max="3" width="17.81640625" bestFit="1" customWidth="1"/>
    <col min="4" max="4" width="11.54296875" bestFit="1" customWidth="1"/>
    <col min="5" max="5" width="22.1796875" bestFit="1" customWidth="1"/>
    <col min="6" max="6" width="23.632812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66</v>
      </c>
      <c r="B2" t="s">
        <v>68</v>
      </c>
      <c r="C2" t="s">
        <v>69</v>
      </c>
      <c r="D2">
        <v>2</v>
      </c>
      <c r="E2">
        <v>1</v>
      </c>
      <c r="F2">
        <v>20000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21"/>
  <sheetViews>
    <sheetView tabSelected="1" workbookViewId="0"/>
  </sheetViews>
  <sheetFormatPr defaultRowHeight="14.5" x14ac:dyDescent="0.35"/>
  <cols>
    <col min="1" max="1" width="33.26953125" customWidth="1"/>
    <col min="2" max="2" width="28.7265625" bestFit="1" customWidth="1"/>
    <col min="3" max="3" width="12.54296875" bestFit="1" customWidth="1"/>
    <col min="4" max="4" width="8.7265625" bestFit="1" customWidth="1"/>
    <col min="5" max="5" width="28.08984375" bestFit="1" customWidth="1"/>
    <col min="6" max="6" width="19.36328125" bestFit="1" customWidth="1"/>
    <col min="7" max="7" width="11.81640625" bestFit="1" customWidth="1"/>
    <col min="8" max="9" width="26.1796875" bestFit="1" customWidth="1"/>
    <col min="10" max="10" width="26.54296875" bestFit="1" customWidth="1"/>
    <col min="11" max="11" width="15.7265625" bestFit="1" customWidth="1"/>
    <col min="12" max="12" width="16.08984375" bestFit="1" customWidth="1"/>
    <col min="13" max="13" width="28.7265625" bestFit="1" customWidth="1"/>
    <col min="14" max="14" width="27.7265625" bestFit="1" customWidth="1"/>
    <col min="15" max="15" width="18.72656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.08984375" bestFit="1" customWidth="1"/>
    <col min="20" max="20" width="11.81640625" bestFit="1" customWidth="1"/>
    <col min="21" max="21" width="26.1796875" bestFit="1" customWidth="1"/>
    <col min="22" max="22" width="21.26953125" bestFit="1" customWidth="1"/>
    <col min="23" max="23" width="21.6328125" bestFit="1" customWidth="1"/>
    <col min="24" max="24" width="15.7265625" bestFit="1" customWidth="1"/>
    <col min="25" max="25" width="16.08984375" bestFit="1" customWidth="1"/>
    <col min="26" max="26" width="16.26953125" bestFit="1" customWidth="1"/>
    <col min="27" max="27" width="20.7265625" bestFit="1" customWidth="1"/>
    <col min="28" max="28" width="24.7265625" bestFit="1" customWidth="1"/>
    <col min="29" max="29" width="12" bestFit="1" customWidth="1"/>
    <col min="30" max="30" width="8.7265625" bestFit="1" customWidth="1"/>
    <col min="31" max="31" width="24.26953125" bestFit="1" customWidth="1"/>
    <col min="32" max="32" width="10" bestFit="1" customWidth="1"/>
    <col min="33" max="33" width="28.81640625" bestFit="1" customWidth="1"/>
    <col min="34" max="34" width="19.1796875" bestFit="1" customWidth="1"/>
    <col min="35" max="35" width="19.54296875" bestFit="1" customWidth="1"/>
    <col min="36" max="36" width="19.81640625" bestFit="1" customWidth="1"/>
    <col min="37" max="37" width="32.26953125" bestFit="1" customWidth="1"/>
    <col min="38" max="38" width="24.7265625" bestFit="1" customWidth="1"/>
    <col min="39" max="39" width="12" bestFit="1" customWidth="1"/>
    <col min="40" max="40" width="8.7265625" bestFit="1" customWidth="1"/>
    <col min="41" max="41" width="24.26953125" bestFit="1" customWidth="1"/>
    <col min="42" max="42" width="10" bestFit="1" customWidth="1"/>
    <col min="43" max="43" width="28.81640625" bestFit="1" customWidth="1"/>
    <col min="44" max="44" width="19.1796875" bestFit="1" customWidth="1"/>
    <col min="45" max="45" width="19.54296875" bestFit="1" customWidth="1"/>
    <col min="46" max="46" width="19.81640625" bestFit="1" customWidth="1"/>
    <col min="47" max="47" width="14.81640625" bestFit="1" customWidth="1"/>
    <col min="48" max="48" width="20.7265625" bestFit="1" customWidth="1"/>
    <col min="49" max="49" width="26.26953125" bestFit="1" customWidth="1"/>
    <col min="50" max="50" width="8.7265625" bestFit="1" customWidth="1"/>
    <col min="51" max="51" width="25.81640625" bestFit="1" customWidth="1"/>
    <col min="52" max="52" width="26.6328125" bestFit="1" customWidth="1"/>
    <col min="53" max="53" width="27" bestFit="1" customWidth="1"/>
    <col min="54" max="54" width="24.81640625" bestFit="1" customWidth="1"/>
    <col min="55" max="55" width="29.26953125" bestFit="1" customWidth="1"/>
    <col min="56" max="56" width="31.81640625" bestFit="1" customWidth="1"/>
    <col min="57" max="57" width="21.72656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66</v>
      </c>
      <c r="B3" t="s">
        <v>74</v>
      </c>
      <c r="C3" t="s">
        <v>75</v>
      </c>
      <c r="D3" t="s">
        <v>76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3521</v>
      </c>
      <c r="O3" t="s">
        <v>66</v>
      </c>
      <c r="P3" t="s">
        <v>70</v>
      </c>
      <c r="Q3" t="s">
        <v>83</v>
      </c>
      <c r="R3" t="s">
        <v>72</v>
      </c>
      <c r="S3" s="5">
        <v>0.21711371256158801</v>
      </c>
      <c r="T3" s="5">
        <v>1.76818642817228E-2</v>
      </c>
      <c r="U3" s="5">
        <v>0</v>
      </c>
      <c r="V3" s="5">
        <v>0.21711371256158801</v>
      </c>
      <c r="W3" s="5">
        <v>0.21711371256158801</v>
      </c>
      <c r="X3" s="5">
        <v>0</v>
      </c>
      <c r="Y3" s="5">
        <v>3</v>
      </c>
      <c r="AA3" t="s">
        <v>112</v>
      </c>
      <c r="AB3" t="s">
        <v>112</v>
      </c>
      <c r="AC3" t="s">
        <v>112</v>
      </c>
      <c r="AD3" t="s">
        <v>112</v>
      </c>
      <c r="AE3" s="5"/>
      <c r="AF3" s="5"/>
      <c r="AG3" s="5"/>
      <c r="AH3" s="5"/>
      <c r="AI3" s="5"/>
      <c r="AK3" t="s">
        <v>66</v>
      </c>
      <c r="AL3" t="s">
        <v>98</v>
      </c>
      <c r="AM3" t="s">
        <v>99</v>
      </c>
      <c r="AN3" t="s">
        <v>100</v>
      </c>
      <c r="AO3" s="5">
        <v>3521</v>
      </c>
      <c r="AP3" s="5">
        <v>4E+20</v>
      </c>
      <c r="AQ3" s="5">
        <v>0</v>
      </c>
      <c r="AR3" s="5">
        <v>3521</v>
      </c>
      <c r="AS3" s="5">
        <v>3521</v>
      </c>
      <c r="AU3" t="s">
        <v>112</v>
      </c>
      <c r="AV3" t="s">
        <v>112</v>
      </c>
      <c r="AW3" t="s">
        <v>112</v>
      </c>
      <c r="AX3" t="s">
        <v>112</v>
      </c>
      <c r="AY3" s="4"/>
      <c r="AZ3" s="4"/>
    </row>
    <row r="4" spans="1:52" x14ac:dyDescent="0.35">
      <c r="C4" t="s">
        <v>77</v>
      </c>
      <c r="D4" t="s">
        <v>76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3521</v>
      </c>
      <c r="P4" t="s">
        <v>84</v>
      </c>
      <c r="Q4" t="s">
        <v>85</v>
      </c>
      <c r="R4" t="s">
        <v>86</v>
      </c>
      <c r="S4" s="5">
        <v>0.75760022251051695</v>
      </c>
      <c r="T4" s="5">
        <v>9.4627315756569408E-3</v>
      </c>
      <c r="U4" s="5">
        <v>0</v>
      </c>
      <c r="V4" s="5">
        <v>0.75760022251051695</v>
      </c>
      <c r="W4" s="5">
        <v>0.75760022251051695</v>
      </c>
      <c r="X4" s="5">
        <v>0</v>
      </c>
      <c r="Y4" s="5">
        <v>1</v>
      </c>
      <c r="AL4" t="s">
        <v>94</v>
      </c>
      <c r="AM4" t="s">
        <v>95</v>
      </c>
      <c r="AN4" t="s">
        <v>86</v>
      </c>
      <c r="AO4" s="5">
        <v>3798</v>
      </c>
      <c r="AP4" s="5">
        <v>4E+20</v>
      </c>
      <c r="AQ4" s="5">
        <v>0</v>
      </c>
      <c r="AR4" s="5">
        <v>3798</v>
      </c>
      <c r="AS4" s="5">
        <v>3798</v>
      </c>
    </row>
    <row r="5" spans="1:52" x14ac:dyDescent="0.35">
      <c r="C5" t="s">
        <v>78</v>
      </c>
      <c r="D5" t="s">
        <v>76</v>
      </c>
      <c r="E5" s="5">
        <v>34.388458322004901</v>
      </c>
      <c r="F5" s="5">
        <v>1</v>
      </c>
      <c r="G5" s="5">
        <v>1.61757789793354</v>
      </c>
      <c r="H5" s="5">
        <v>0</v>
      </c>
      <c r="I5" s="5">
        <v>34.388458322004901</v>
      </c>
      <c r="J5" s="5">
        <v>34.388458322004901</v>
      </c>
      <c r="K5" s="5">
        <v>21.2910815571922</v>
      </c>
      <c r="L5" s="5">
        <v>171.23763640939799</v>
      </c>
      <c r="M5" s="5">
        <v>3521</v>
      </c>
      <c r="Q5" t="s">
        <v>87</v>
      </c>
      <c r="R5" t="s">
        <v>86</v>
      </c>
      <c r="S5" s="5">
        <v>0.75760022251051695</v>
      </c>
      <c r="T5" s="5">
        <v>9.4627315756569408E-3</v>
      </c>
      <c r="U5" s="5">
        <v>0</v>
      </c>
      <c r="V5" s="5">
        <v>0.75760022251051695</v>
      </c>
      <c r="W5" s="5">
        <v>0.75760022251051695</v>
      </c>
      <c r="X5" s="5">
        <v>0</v>
      </c>
      <c r="Y5" s="5">
        <v>1</v>
      </c>
      <c r="AL5" t="s">
        <v>96</v>
      </c>
      <c r="AM5" t="s">
        <v>97</v>
      </c>
      <c r="AN5" t="s">
        <v>86</v>
      </c>
      <c r="AO5" s="5">
        <v>0.75760022251051695</v>
      </c>
      <c r="AP5" s="5">
        <v>4E+20</v>
      </c>
      <c r="AQ5" s="5">
        <v>0</v>
      </c>
      <c r="AR5" s="5">
        <v>0.75760022251051695</v>
      </c>
      <c r="AS5" s="5">
        <v>0.75760022251051695</v>
      </c>
    </row>
    <row r="6" spans="1:52" x14ac:dyDescent="0.35">
      <c r="C6" t="s">
        <v>79</v>
      </c>
      <c r="D6" t="s">
        <v>76</v>
      </c>
      <c r="E6" s="5">
        <v>2.3694460285993801</v>
      </c>
      <c r="F6" s="5">
        <v>1</v>
      </c>
      <c r="G6" s="5">
        <v>1.9636356744910401E-2</v>
      </c>
      <c r="H6" s="5">
        <v>0</v>
      </c>
      <c r="I6" s="5">
        <v>2.3694460285993801</v>
      </c>
      <c r="J6" s="5">
        <v>2.3694460285993801</v>
      </c>
      <c r="K6" s="5">
        <v>1.5652403381282101</v>
      </c>
      <c r="L6" s="5">
        <v>6.54765437636161</v>
      </c>
      <c r="M6" s="5">
        <v>3521</v>
      </c>
      <c r="Q6" t="s">
        <v>88</v>
      </c>
      <c r="R6" t="s">
        <v>86</v>
      </c>
      <c r="S6" s="5">
        <v>1</v>
      </c>
      <c r="T6" s="5">
        <v>2E+20</v>
      </c>
      <c r="U6" s="5">
        <v>0</v>
      </c>
      <c r="V6" s="5">
        <v>1</v>
      </c>
      <c r="W6" s="5">
        <v>1</v>
      </c>
      <c r="X6" s="5">
        <v>1</v>
      </c>
      <c r="Y6" s="5">
        <v>1</v>
      </c>
      <c r="AL6" t="s">
        <v>101</v>
      </c>
      <c r="AM6" t="s">
        <v>102</v>
      </c>
      <c r="AN6" t="s">
        <v>76</v>
      </c>
      <c r="AO6" s="5">
        <v>3527</v>
      </c>
      <c r="AP6" s="5">
        <v>4E+20</v>
      </c>
      <c r="AQ6" s="5">
        <v>0</v>
      </c>
      <c r="AR6" s="5">
        <v>3527</v>
      </c>
      <c r="AS6" s="5">
        <v>3527</v>
      </c>
    </row>
    <row r="7" spans="1:52" x14ac:dyDescent="0.35">
      <c r="C7" t="s">
        <v>80</v>
      </c>
      <c r="D7" t="s">
        <v>76</v>
      </c>
      <c r="E7" s="5">
        <v>25.404144955782201</v>
      </c>
      <c r="F7" s="5">
        <v>1</v>
      </c>
      <c r="G7" s="5">
        <v>0.27464848594997399</v>
      </c>
      <c r="H7" s="5">
        <v>0</v>
      </c>
      <c r="I7" s="5">
        <v>25.404144955782201</v>
      </c>
      <c r="J7" s="5">
        <v>25.404144955782201</v>
      </c>
      <c r="K7" s="5">
        <v>18.494733652058098</v>
      </c>
      <c r="L7" s="5">
        <v>110.270630318326</v>
      </c>
      <c r="M7" s="5">
        <v>3521</v>
      </c>
      <c r="P7" t="s">
        <v>73</v>
      </c>
      <c r="Q7" t="s">
        <v>83</v>
      </c>
      <c r="R7" t="s">
        <v>72</v>
      </c>
      <c r="S7" s="5">
        <v>0.175606888687766</v>
      </c>
      <c r="T7" s="5">
        <v>2.1288457995554001E-2</v>
      </c>
      <c r="U7" s="5">
        <v>0</v>
      </c>
      <c r="V7" s="5">
        <v>0.175606888687766</v>
      </c>
      <c r="W7" s="5">
        <v>0.175606888687766</v>
      </c>
      <c r="X7" s="5">
        <v>0</v>
      </c>
      <c r="Y7" s="5">
        <v>3</v>
      </c>
      <c r="AL7" t="s">
        <v>103</v>
      </c>
      <c r="AM7" t="s">
        <v>99</v>
      </c>
      <c r="AN7" t="s">
        <v>76</v>
      </c>
      <c r="AO7" s="5">
        <v>3521</v>
      </c>
      <c r="AP7" s="5">
        <v>4E+20</v>
      </c>
      <c r="AQ7" s="5">
        <v>0</v>
      </c>
      <c r="AR7" s="5">
        <v>3521</v>
      </c>
      <c r="AS7" s="5">
        <v>3521</v>
      </c>
    </row>
    <row r="8" spans="1:52" x14ac:dyDescent="0.35">
      <c r="C8" t="s">
        <v>81</v>
      </c>
      <c r="D8" t="s">
        <v>76</v>
      </c>
      <c r="E8" s="5">
        <v>6.6148673376234104</v>
      </c>
      <c r="F8" s="5">
        <v>1</v>
      </c>
      <c r="G8" s="5">
        <v>1.44405282231642</v>
      </c>
      <c r="H8" s="5">
        <v>0</v>
      </c>
      <c r="I8" s="5">
        <v>6.6148673376234104</v>
      </c>
      <c r="J8" s="5">
        <v>6.6148673376234104</v>
      </c>
      <c r="K8" s="5">
        <v>0</v>
      </c>
      <c r="L8" s="5">
        <v>59.193142092292</v>
      </c>
      <c r="M8" s="5">
        <v>3521</v>
      </c>
      <c r="P8" t="s">
        <v>74</v>
      </c>
      <c r="Q8" t="s">
        <v>89</v>
      </c>
      <c r="R8" t="s">
        <v>76</v>
      </c>
      <c r="S8" s="5">
        <v>6.0585344173849398</v>
      </c>
      <c r="T8" s="5">
        <v>3E+20</v>
      </c>
      <c r="U8" s="5">
        <v>0</v>
      </c>
      <c r="V8" s="5">
        <v>6.0585344173849398</v>
      </c>
      <c r="W8" s="5">
        <v>6.0585344173849398</v>
      </c>
      <c r="X8" s="5">
        <v>0</v>
      </c>
      <c r="Y8" s="5">
        <v>13</v>
      </c>
      <c r="AL8" t="s">
        <v>104</v>
      </c>
      <c r="AM8" t="s">
        <v>95</v>
      </c>
      <c r="AN8" t="s">
        <v>86</v>
      </c>
      <c r="AO8" s="5">
        <v>1010</v>
      </c>
      <c r="AP8" s="5">
        <v>4E+20</v>
      </c>
      <c r="AQ8" s="5">
        <v>0</v>
      </c>
      <c r="AR8" s="5">
        <v>1010</v>
      </c>
      <c r="AS8" s="5">
        <v>1010</v>
      </c>
    </row>
    <row r="9" spans="1:52" x14ac:dyDescent="0.35">
      <c r="B9" t="s">
        <v>70</v>
      </c>
      <c r="C9" t="s">
        <v>71</v>
      </c>
      <c r="D9" t="s">
        <v>72</v>
      </c>
      <c r="E9" s="5">
        <v>1.14330549005575</v>
      </c>
      <c r="F9" s="5">
        <v>1</v>
      </c>
      <c r="G9" s="5">
        <v>9.9057899878945505E-2</v>
      </c>
      <c r="H9" s="5">
        <v>0</v>
      </c>
      <c r="I9" s="5">
        <v>1.14330549005575</v>
      </c>
      <c r="J9" s="5">
        <v>1.14330549005575</v>
      </c>
      <c r="K9" s="5">
        <v>0</v>
      </c>
      <c r="L9" s="5">
        <v>10.8891291594409</v>
      </c>
      <c r="M9" s="5">
        <v>3798</v>
      </c>
      <c r="P9" t="s">
        <v>82</v>
      </c>
      <c r="Q9" t="s">
        <v>83</v>
      </c>
      <c r="R9" t="s">
        <v>72</v>
      </c>
      <c r="S9" s="5">
        <v>0.77251894849450498</v>
      </c>
      <c r="T9" s="5">
        <v>3E+20</v>
      </c>
      <c r="U9" s="5">
        <v>0</v>
      </c>
      <c r="V9" s="5">
        <v>0.77251894849450498</v>
      </c>
      <c r="W9" s="5">
        <v>0.77251894849450498</v>
      </c>
      <c r="X9" s="5">
        <v>0</v>
      </c>
      <c r="Y9" s="5">
        <v>8</v>
      </c>
      <c r="AL9" t="s">
        <v>105</v>
      </c>
      <c r="AM9" t="s">
        <v>97</v>
      </c>
      <c r="AN9" t="s">
        <v>86</v>
      </c>
      <c r="AO9" s="5">
        <v>0.90833548313923096</v>
      </c>
      <c r="AP9" s="5">
        <v>4E+20</v>
      </c>
      <c r="AQ9" s="5">
        <v>0</v>
      </c>
      <c r="AR9" s="5">
        <v>0.90833548313923096</v>
      </c>
      <c r="AS9" s="5">
        <v>0.90833548313923096</v>
      </c>
    </row>
    <row r="10" spans="1:52" x14ac:dyDescent="0.35">
      <c r="B10" t="s">
        <v>82</v>
      </c>
      <c r="C10" t="s">
        <v>71</v>
      </c>
      <c r="D10" t="s">
        <v>72</v>
      </c>
      <c r="E10" s="5">
        <v>4.3816012635289097</v>
      </c>
      <c r="F10" s="5">
        <v>1</v>
      </c>
      <c r="G10" s="5">
        <v>1.30940570500144</v>
      </c>
      <c r="H10" s="5">
        <v>0</v>
      </c>
      <c r="I10" s="5">
        <v>4.3816012635289097</v>
      </c>
      <c r="J10" s="5">
        <v>4.3816012635289097</v>
      </c>
      <c r="K10" s="5">
        <v>0</v>
      </c>
      <c r="L10" s="5">
        <v>36.809140044952102</v>
      </c>
      <c r="M10" s="5">
        <v>3526</v>
      </c>
      <c r="P10" t="s">
        <v>90</v>
      </c>
      <c r="Q10" t="s">
        <v>85</v>
      </c>
      <c r="R10" t="s">
        <v>86</v>
      </c>
      <c r="S10" s="5">
        <v>0.90833548313923096</v>
      </c>
      <c r="T10" s="5">
        <v>1.4002941562353301E-2</v>
      </c>
      <c r="U10" s="5">
        <v>0</v>
      </c>
      <c r="V10" s="5">
        <v>0.90833548313923096</v>
      </c>
      <c r="W10" s="5">
        <v>0.90833548313923096</v>
      </c>
      <c r="X10" s="5">
        <v>0</v>
      </c>
      <c r="Y10" s="5">
        <v>1</v>
      </c>
      <c r="AL10" t="s">
        <v>106</v>
      </c>
      <c r="AM10" t="s">
        <v>95</v>
      </c>
      <c r="AN10" t="s">
        <v>86</v>
      </c>
      <c r="AO10" s="5">
        <v>952</v>
      </c>
      <c r="AP10" s="5">
        <v>4E+20</v>
      </c>
      <c r="AQ10" s="5">
        <v>0</v>
      </c>
      <c r="AR10" s="5">
        <v>952</v>
      </c>
      <c r="AS10" s="5">
        <v>952</v>
      </c>
    </row>
    <row r="11" spans="1:52" x14ac:dyDescent="0.35">
      <c r="B11" t="s">
        <v>73</v>
      </c>
      <c r="C11" t="s">
        <v>71</v>
      </c>
      <c r="D11" t="s">
        <v>72</v>
      </c>
      <c r="E11" s="5">
        <v>12.725136861432301</v>
      </c>
      <c r="F11" s="5">
        <v>1</v>
      </c>
      <c r="G11" s="5">
        <v>2E+20</v>
      </c>
      <c r="H11" s="5">
        <v>0</v>
      </c>
      <c r="I11" s="5">
        <v>12.725136861432301</v>
      </c>
      <c r="J11" s="5">
        <v>12.725136861432301</v>
      </c>
      <c r="K11" s="5">
        <v>0</v>
      </c>
      <c r="L11" s="5">
        <v>24.189084011915799</v>
      </c>
      <c r="M11" s="5">
        <v>276</v>
      </c>
      <c r="Q11" t="s">
        <v>87</v>
      </c>
      <c r="R11" t="s">
        <v>86</v>
      </c>
      <c r="S11" s="5">
        <v>0.90833548313923096</v>
      </c>
      <c r="T11" s="5">
        <v>1.4002941562353301E-2</v>
      </c>
      <c r="U11" s="5">
        <v>0</v>
      </c>
      <c r="V11" s="5">
        <v>0.90833548313923096</v>
      </c>
      <c r="W11" s="5">
        <v>0.90833548313923096</v>
      </c>
      <c r="X11" s="5">
        <v>0</v>
      </c>
      <c r="Y11" s="5">
        <v>1</v>
      </c>
      <c r="AL11" t="s">
        <v>107</v>
      </c>
      <c r="AM11" t="s">
        <v>97</v>
      </c>
      <c r="AN11" t="s">
        <v>86</v>
      </c>
      <c r="AO11" s="5">
        <v>0.93106258000748998</v>
      </c>
      <c r="AP11" s="5">
        <v>4E+20</v>
      </c>
      <c r="AQ11" s="5">
        <v>0</v>
      </c>
      <c r="AR11" s="5">
        <v>0.93106258000748998</v>
      </c>
      <c r="AS11" s="5">
        <v>0.93106258000748998</v>
      </c>
    </row>
    <row r="12" spans="1:52" x14ac:dyDescent="0.35">
      <c r="Q12" t="s">
        <v>88</v>
      </c>
      <c r="R12" t="s">
        <v>86</v>
      </c>
      <c r="S12" s="5">
        <v>1</v>
      </c>
      <c r="T12" s="5">
        <v>2E+20</v>
      </c>
      <c r="U12" s="5">
        <v>0</v>
      </c>
      <c r="V12" s="5">
        <v>1</v>
      </c>
      <c r="W12" s="5">
        <v>1</v>
      </c>
      <c r="X12" s="5">
        <v>1</v>
      </c>
      <c r="Y12" s="5">
        <v>1</v>
      </c>
      <c r="AL12" t="s">
        <v>108</v>
      </c>
      <c r="AM12" t="s">
        <v>95</v>
      </c>
      <c r="AN12" t="s">
        <v>86</v>
      </c>
      <c r="AO12" s="5">
        <v>922</v>
      </c>
      <c r="AP12" s="5">
        <v>4E+20</v>
      </c>
      <c r="AQ12" s="5">
        <v>0</v>
      </c>
      <c r="AR12" s="5">
        <v>922</v>
      </c>
      <c r="AS12" s="5">
        <v>922</v>
      </c>
    </row>
    <row r="13" spans="1:52" x14ac:dyDescent="0.35">
      <c r="P13" t="s">
        <v>91</v>
      </c>
      <c r="Q13" t="s">
        <v>85</v>
      </c>
      <c r="R13" t="s">
        <v>86</v>
      </c>
      <c r="S13" s="5">
        <v>0.93106258000748998</v>
      </c>
      <c r="T13" s="5">
        <v>1.36414182535691E-2</v>
      </c>
      <c r="U13" s="5">
        <v>0</v>
      </c>
      <c r="V13" s="5">
        <v>0.93106258000748998</v>
      </c>
      <c r="W13" s="5">
        <v>0.93106258000748998</v>
      </c>
      <c r="X13" s="5">
        <v>0</v>
      </c>
      <c r="Y13" s="5">
        <v>1</v>
      </c>
      <c r="AL13" t="s">
        <v>109</v>
      </c>
      <c r="AM13" t="s">
        <v>97</v>
      </c>
      <c r="AN13" t="s">
        <v>86</v>
      </c>
      <c r="AO13" s="5">
        <v>0.93870809472566796</v>
      </c>
      <c r="AP13" s="5">
        <v>4E+20</v>
      </c>
      <c r="AQ13" s="5">
        <v>0</v>
      </c>
      <c r="AR13" s="5">
        <v>0.93870809472566796</v>
      </c>
      <c r="AS13" s="5">
        <v>0.93870809472566796</v>
      </c>
    </row>
    <row r="14" spans="1:52" x14ac:dyDescent="0.35">
      <c r="Q14" t="s">
        <v>87</v>
      </c>
      <c r="R14" t="s">
        <v>86</v>
      </c>
      <c r="S14" s="5">
        <v>0.93106258000748998</v>
      </c>
      <c r="T14" s="5">
        <v>1.36414182535691E-2</v>
      </c>
      <c r="U14" s="5">
        <v>0</v>
      </c>
      <c r="V14" s="5">
        <v>0.93106258000748998</v>
      </c>
      <c r="W14" s="5">
        <v>0.93106258000748998</v>
      </c>
      <c r="X14" s="5">
        <v>0</v>
      </c>
      <c r="Y14" s="5">
        <v>1</v>
      </c>
      <c r="AL14" t="s">
        <v>110</v>
      </c>
      <c r="AM14" t="s">
        <v>95</v>
      </c>
      <c r="AN14" t="s">
        <v>86</v>
      </c>
      <c r="AO14" s="5">
        <v>918</v>
      </c>
      <c r="AP14" s="5">
        <v>4E+20</v>
      </c>
      <c r="AQ14" s="5">
        <v>0</v>
      </c>
      <c r="AR14" s="5">
        <v>918</v>
      </c>
      <c r="AS14" s="5">
        <v>918</v>
      </c>
    </row>
    <row r="15" spans="1:52" x14ac:dyDescent="0.35">
      <c r="Q15" t="s">
        <v>88</v>
      </c>
      <c r="R15" t="s">
        <v>86</v>
      </c>
      <c r="S15" s="5">
        <v>1</v>
      </c>
      <c r="T15" s="5">
        <v>2E+20</v>
      </c>
      <c r="U15" s="5">
        <v>0</v>
      </c>
      <c r="V15" s="5">
        <v>1</v>
      </c>
      <c r="W15" s="5">
        <v>1</v>
      </c>
      <c r="X15" s="5">
        <v>1</v>
      </c>
      <c r="Y15" s="5">
        <v>1</v>
      </c>
      <c r="AL15" t="s">
        <v>111</v>
      </c>
      <c r="AM15" t="s">
        <v>97</v>
      </c>
      <c r="AN15" t="s">
        <v>86</v>
      </c>
      <c r="AO15" s="5">
        <v>0.94013098899391101</v>
      </c>
      <c r="AP15" s="5">
        <v>4E+20</v>
      </c>
      <c r="AQ15" s="5">
        <v>0</v>
      </c>
      <c r="AR15" s="5">
        <v>0.94013098899391101</v>
      </c>
      <c r="AS15" s="5">
        <v>0.94013098899391101</v>
      </c>
    </row>
    <row r="16" spans="1:52" x14ac:dyDescent="0.35">
      <c r="P16" t="s">
        <v>92</v>
      </c>
      <c r="Q16" t="s">
        <v>85</v>
      </c>
      <c r="R16" t="s">
        <v>86</v>
      </c>
      <c r="S16" s="5">
        <v>0.93870809472566796</v>
      </c>
      <c r="T16" s="5">
        <v>1.1234243196289099E-2</v>
      </c>
      <c r="U16" s="5">
        <v>0</v>
      </c>
      <c r="V16" s="5">
        <v>0.93870809472566796</v>
      </c>
      <c r="W16" s="5">
        <v>0.93870809472566796</v>
      </c>
      <c r="X16" s="5">
        <v>0</v>
      </c>
      <c r="Y16" s="5">
        <v>1</v>
      </c>
    </row>
    <row r="17" spans="16:25" x14ac:dyDescent="0.35">
      <c r="Q17" t="s">
        <v>87</v>
      </c>
      <c r="R17" t="s">
        <v>86</v>
      </c>
      <c r="S17" s="5">
        <v>0.93870809472566796</v>
      </c>
      <c r="T17" s="5">
        <v>1.1234243196289099E-2</v>
      </c>
      <c r="U17" s="5">
        <v>0</v>
      </c>
      <c r="V17" s="5">
        <v>0.93870809472566796</v>
      </c>
      <c r="W17" s="5">
        <v>0.93870809472566796</v>
      </c>
      <c r="X17" s="5">
        <v>0</v>
      </c>
      <c r="Y17" s="5">
        <v>1</v>
      </c>
    </row>
    <row r="18" spans="16:25" x14ac:dyDescent="0.35">
      <c r="Q18" t="s">
        <v>88</v>
      </c>
      <c r="R18" t="s">
        <v>86</v>
      </c>
      <c r="S18" s="5">
        <v>1</v>
      </c>
      <c r="T18" s="5">
        <v>2E+20</v>
      </c>
      <c r="U18" s="5">
        <v>0</v>
      </c>
      <c r="V18" s="5">
        <v>1</v>
      </c>
      <c r="W18" s="5">
        <v>1</v>
      </c>
      <c r="X18" s="5">
        <v>1</v>
      </c>
      <c r="Y18" s="5">
        <v>1</v>
      </c>
    </row>
    <row r="19" spans="16:25" x14ac:dyDescent="0.35">
      <c r="P19" t="s">
        <v>93</v>
      </c>
      <c r="Q19" t="s">
        <v>85</v>
      </c>
      <c r="R19" t="s">
        <v>86</v>
      </c>
      <c r="S19" s="5">
        <v>0.94013098899391101</v>
      </c>
      <c r="T19" s="5">
        <v>3E+20</v>
      </c>
      <c r="U19" s="5">
        <v>0</v>
      </c>
      <c r="V19" s="5">
        <v>0.94013098899391101</v>
      </c>
      <c r="W19" s="5">
        <v>0.94013098899391101</v>
      </c>
      <c r="X19" s="5">
        <v>0</v>
      </c>
      <c r="Y19" s="5">
        <v>1</v>
      </c>
    </row>
    <row r="20" spans="16:25" x14ac:dyDescent="0.35">
      <c r="Q20" t="s">
        <v>87</v>
      </c>
      <c r="R20" t="s">
        <v>86</v>
      </c>
      <c r="S20" s="5">
        <v>0.94013098899391101</v>
      </c>
      <c r="T20" s="5">
        <v>3E+20</v>
      </c>
      <c r="U20" s="5">
        <v>0</v>
      </c>
      <c r="V20" s="5">
        <v>0.94013098899391101</v>
      </c>
      <c r="W20" s="5">
        <v>0.94013098899391101</v>
      </c>
      <c r="X20" s="5">
        <v>0</v>
      </c>
      <c r="Y20" s="5">
        <v>1</v>
      </c>
    </row>
    <row r="21" spans="16:25" x14ac:dyDescent="0.35">
      <c r="Q21" t="s">
        <v>88</v>
      </c>
      <c r="R21" t="s">
        <v>86</v>
      </c>
      <c r="S21" s="5">
        <v>1</v>
      </c>
      <c r="T21" s="5">
        <v>2E+20</v>
      </c>
      <c r="U21" s="5">
        <v>0</v>
      </c>
      <c r="V21" s="5">
        <v>1</v>
      </c>
      <c r="W21" s="5">
        <v>1</v>
      </c>
      <c r="X21" s="5">
        <v>1</v>
      </c>
      <c r="Y21" s="5">
        <v>1</v>
      </c>
    </row>
  </sheetData>
  <dataConsolidate/>
  <conditionalFormatting pivot="1" sqref="G3:G11">
    <cfRule type="expression" dxfId="31" priority="14">
      <formula>G3=200000000000000000000</formula>
    </cfRule>
  </conditionalFormatting>
  <conditionalFormatting pivot="1" sqref="T3:T21">
    <cfRule type="expression" dxfId="30" priority="13">
      <formula>T3=200000000000000000000</formula>
    </cfRule>
  </conditionalFormatting>
  <conditionalFormatting pivot="1" sqref="T3:T21">
    <cfRule type="expression" dxfId="29" priority="12">
      <formula>T3=300000000000000000000</formula>
    </cfRule>
  </conditionalFormatting>
  <conditionalFormatting pivot="1" sqref="G3:G11">
    <cfRule type="expression" dxfId="28" priority="11">
      <formula>G3=300000000000000000000</formula>
    </cfRule>
  </conditionalFormatting>
  <conditionalFormatting pivot="1" sqref="F3:F11">
    <cfRule type="expression" dxfId="27" priority="10">
      <formula>F3=0</formula>
    </cfRule>
  </conditionalFormatting>
  <conditionalFormatting pivot="1" sqref="F3:F11">
    <cfRule type="expression" dxfId="26" priority="9">
      <formula>F3=1</formula>
    </cfRule>
  </conditionalFormatting>
  <conditionalFormatting pivot="1" sqref="T3:T21">
    <cfRule type="expression" dxfId="25" priority="8">
      <formula>T3=400000000000000000000</formula>
    </cfRule>
  </conditionalFormatting>
  <conditionalFormatting pivot="1" sqref="AP3:AP15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1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0"/>
  <sheetViews>
    <sheetView workbookViewId="0">
      <selection activeCell="A2" sqref="A2:K6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6.1796875" bestFit="1" customWidth="1"/>
    <col min="5" max="5" width="12.36328125" bestFit="1" customWidth="1"/>
    <col min="6" max="6" width="8.7265625" bestFit="1" customWidth="1"/>
    <col min="7" max="7" width="11.81640625" bestFit="1" customWidth="1"/>
    <col min="8" max="8" width="22.1796875" bestFit="1" customWidth="1"/>
    <col min="9" max="10" width="11.81640625" bestFit="1" customWidth="1"/>
    <col min="11" max="11" width="21.1796875" bestFit="1" customWidth="1"/>
    <col min="12" max="12" width="47.7265625" bestFit="1" customWidth="1"/>
    <col min="13" max="13" width="16.08984375" bestFit="1" customWidth="1"/>
    <col min="14" max="14" width="18.6328125" bestFit="1" customWidth="1"/>
    <col min="15" max="15" width="16.7265625" bestFit="1" customWidth="1"/>
    <col min="16" max="16" width="19" bestFit="1" customWidth="1"/>
    <col min="17" max="17" width="11.6328125" bestFit="1" customWidth="1"/>
    <col min="18" max="18" width="18" bestFit="1" customWidth="1"/>
    <col min="19" max="19" width="18.36328125" bestFit="1" customWidth="1"/>
    <col min="20" max="20" width="17.1796875" bestFit="1" customWidth="1"/>
    <col min="21" max="21" width="17.54296875" bestFit="1" customWidth="1"/>
    <col min="22" max="22" width="28.08984375" bestFit="1" customWidth="1"/>
    <col min="23" max="23" width="19.7265625" bestFit="1" customWidth="1"/>
    <col min="24" max="24" width="22.7265625" bestFit="1" customWidth="1"/>
    <col min="25" max="25" width="21.17968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66</v>
      </c>
      <c r="B2" t="s">
        <v>69</v>
      </c>
      <c r="C2">
        <v>1</v>
      </c>
      <c r="D2" t="s">
        <v>74</v>
      </c>
      <c r="E2" t="s">
        <v>75</v>
      </c>
      <c r="F2" t="s">
        <v>76</v>
      </c>
      <c r="G2">
        <v>0</v>
      </c>
      <c r="H2">
        <v>0</v>
      </c>
      <c r="I2">
        <v>0</v>
      </c>
      <c r="J2">
        <v>0</v>
      </c>
      <c r="K2">
        <v>3521</v>
      </c>
      <c r="L2" t="str">
        <f>DiscreteStatsTable[[#This Row],[ProjectName]]&amp;DiscreteStatsTable[[#This Row],[Name]]&amp;DiscreteStatsTable[[#This Row],[Type]]&amp;DiscreteStatsTable[[#This Row],[Source]]</f>
        <v>Unnamed ProjectflaktNVA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3521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66</v>
      </c>
      <c r="B3" t="s">
        <v>69</v>
      </c>
      <c r="C3">
        <v>1</v>
      </c>
      <c r="D3" t="s">
        <v>74</v>
      </c>
      <c r="E3" t="s">
        <v>77</v>
      </c>
      <c r="F3" t="s">
        <v>76</v>
      </c>
      <c r="G3">
        <v>0</v>
      </c>
      <c r="H3">
        <v>0</v>
      </c>
      <c r="I3">
        <v>0</v>
      </c>
      <c r="J3">
        <v>0</v>
      </c>
      <c r="K3">
        <v>3521</v>
      </c>
      <c r="L3" t="str">
        <f>DiscreteStatsTable[[#This Row],[ProjectName]]&amp;DiscreteStatsTable[[#This Row],[Name]]&amp;DiscreteStatsTable[[#This Row],[Type]]&amp;DiscreteStatsTable[[#This Row],[Source]]</f>
        <v>Unnamed ProjectflaktOther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3521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66</v>
      </c>
      <c r="B4" t="s">
        <v>69</v>
      </c>
      <c r="C4">
        <v>1</v>
      </c>
      <c r="D4" t="s">
        <v>74</v>
      </c>
      <c r="E4" t="s">
        <v>78</v>
      </c>
      <c r="F4" t="s">
        <v>76</v>
      </c>
      <c r="G4">
        <v>34.388458322004901</v>
      </c>
      <c r="H4">
        <v>1.61757789793354</v>
      </c>
      <c r="I4">
        <v>21.2910815571922</v>
      </c>
      <c r="J4">
        <v>171.23763640939799</v>
      </c>
      <c r="K4">
        <v>3521</v>
      </c>
      <c r="L4" t="str">
        <f>DiscreteStatsTable[[#This Row],[ProjectName]]&amp;DiscreteStatsTable[[#This Row],[Name]]&amp;DiscreteStatsTable[[#This Row],[Type]]&amp;DiscreteStatsTable[[#This Row],[Source]]</f>
        <v>Unnamed ProjectflaktTotal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34.388458322004901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34.388458322004901</v>
      </c>
      <c r="S4" cm="1">
        <f t="array" ref="S4">MAX(IF((DiscreteStatsTable[GroupByKey]=DiscreteStatsTable[[#This Row],[GroupByKey]]),(DiscreteStatsTable[GroupByKey]=DiscreteStatsTable[[#This Row],[GroupByKey]])*DiscreteStatsTable[Average]))</f>
        <v>34.388458322004901</v>
      </c>
      <c r="T4" cm="1">
        <f t="array" ref="T4">MIN(IF((DiscreteStatsTable[GroupByKey]=DiscreteStatsTable[[#This Row],[GroupByKey]]),(DiscreteStatsTable[GroupByKey]=DiscreteStatsTable[[#This Row],[GroupByKey]])*DiscreteStatsTable[Minimum]))</f>
        <v>21.2910815571922</v>
      </c>
      <c r="U4" cm="1">
        <f t="array" ref="U4">MAX(IF((DiscreteStatsTable[GroupByKey]=DiscreteStatsTable[[#This Row],[GroupByKey]]),(DiscreteStatsTable[GroupByKey]=DiscreteStatsTable[[#This Row],[GroupByKey]])*DiscreteStatsTable[Maximum]))</f>
        <v>171.23763640939799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3521</v>
      </c>
      <c r="W4">
        <f>IF((DiscreteStatsTable[[#This Row],[RepsRequested]]&gt;1),DiscreteStatsTable[[#This Row],[HalfWidth]],DiscreteStatsTable[[#This Row],[BatchMeansHalfWidth]])</f>
        <v>1.61757789793354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66</v>
      </c>
      <c r="B5" t="s">
        <v>69</v>
      </c>
      <c r="C5">
        <v>1</v>
      </c>
      <c r="D5" t="s">
        <v>74</v>
      </c>
      <c r="E5" t="s">
        <v>79</v>
      </c>
      <c r="F5" t="s">
        <v>76</v>
      </c>
      <c r="G5">
        <v>2.3694460285993801</v>
      </c>
      <c r="H5">
        <v>1.9636356744910401E-2</v>
      </c>
      <c r="I5">
        <v>1.5652403381282101</v>
      </c>
      <c r="J5">
        <v>6.54765437636161</v>
      </c>
      <c r="K5">
        <v>3521</v>
      </c>
      <c r="L5" t="str">
        <f>DiscreteStatsTable[[#This Row],[ProjectName]]&amp;DiscreteStatsTable[[#This Row],[Name]]&amp;DiscreteStatsTable[[#This Row],[Type]]&amp;DiscreteStatsTable[[#This Row],[Source]]</f>
        <v>Unnamed ProjectflaktTransfer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2.3694460285993801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2.3694460285993801</v>
      </c>
      <c r="S5" cm="1">
        <f t="array" ref="S5">MAX(IF((DiscreteStatsTable[GroupByKey]=DiscreteStatsTable[[#This Row],[GroupByKey]]),(DiscreteStatsTable[GroupByKey]=DiscreteStatsTable[[#This Row],[GroupByKey]])*DiscreteStatsTable[Average]))</f>
        <v>2.3694460285993801</v>
      </c>
      <c r="T5" cm="1">
        <f t="array" ref="T5">MIN(IF((DiscreteStatsTable[GroupByKey]=DiscreteStatsTable[[#This Row],[GroupByKey]]),(DiscreteStatsTable[GroupByKey]=DiscreteStatsTable[[#This Row],[GroupByKey]])*DiscreteStatsTable[Minimum]))</f>
        <v>1.5652403381282101</v>
      </c>
      <c r="U5" cm="1">
        <f t="array" ref="U5">MAX(IF((DiscreteStatsTable[GroupByKey]=DiscreteStatsTable[[#This Row],[GroupByKey]]),(DiscreteStatsTable[GroupByKey]=DiscreteStatsTable[[#This Row],[GroupByKey]])*DiscreteStatsTable[Maximum]))</f>
        <v>6.54765437636161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3521</v>
      </c>
      <c r="W5">
        <f>IF((DiscreteStatsTable[[#This Row],[RepsRequested]]&gt;1),DiscreteStatsTable[[#This Row],[HalfWidth]],DiscreteStatsTable[[#This Row],[BatchMeansHalfWidth]])</f>
        <v>1.9636356744910401E-2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66</v>
      </c>
      <c r="B6" t="s">
        <v>69</v>
      </c>
      <c r="C6">
        <v>1</v>
      </c>
      <c r="D6" t="s">
        <v>74</v>
      </c>
      <c r="E6" t="s">
        <v>80</v>
      </c>
      <c r="F6" t="s">
        <v>76</v>
      </c>
      <c r="G6">
        <v>25.404144955782201</v>
      </c>
      <c r="H6">
        <v>0.27464848594997399</v>
      </c>
      <c r="I6">
        <v>18.494733652058098</v>
      </c>
      <c r="J6">
        <v>110.270630318326</v>
      </c>
      <c r="K6">
        <v>3521</v>
      </c>
      <c r="L6" t="str">
        <f>DiscreteStatsTable[[#This Row],[ProjectName]]&amp;DiscreteStatsTable[[#This Row],[Name]]&amp;DiscreteStatsTable[[#This Row],[Type]]&amp;DiscreteStatsTable[[#This Row],[Source]]</f>
        <v>Unnamed ProjectflaktVA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25.404144955782201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25.404144955782201</v>
      </c>
      <c r="S6" cm="1">
        <f t="array" ref="S6">MAX(IF((DiscreteStatsTable[GroupByKey]=DiscreteStatsTable[[#This Row],[GroupByKey]]),(DiscreteStatsTable[GroupByKey]=DiscreteStatsTable[[#This Row],[GroupByKey]])*DiscreteStatsTable[Average]))</f>
        <v>25.404144955782201</v>
      </c>
      <c r="T6" cm="1">
        <f t="array" ref="T6">MIN(IF((DiscreteStatsTable[GroupByKey]=DiscreteStatsTable[[#This Row],[GroupByKey]]),(DiscreteStatsTable[GroupByKey]=DiscreteStatsTable[[#This Row],[GroupByKey]])*DiscreteStatsTable[Minimum]))</f>
        <v>18.494733652058098</v>
      </c>
      <c r="U6" cm="1">
        <f t="array" ref="U6">MAX(IF((DiscreteStatsTable[GroupByKey]=DiscreteStatsTable[[#This Row],[GroupByKey]]),(DiscreteStatsTable[GroupByKey]=DiscreteStatsTable[[#This Row],[GroupByKey]])*DiscreteStatsTable[Maximum]))</f>
        <v>110.270630318326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3521</v>
      </c>
      <c r="W6">
        <f>IF((DiscreteStatsTable[[#This Row],[RepsRequested]]&gt;1),DiscreteStatsTable[[#This Row],[HalfWidth]],DiscreteStatsTable[[#This Row],[BatchMeansHalfWidth]])</f>
        <v>0.27464848594997399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66</v>
      </c>
      <c r="B7" t="s">
        <v>69</v>
      </c>
      <c r="C7">
        <v>1</v>
      </c>
      <c r="D7" t="s">
        <v>74</v>
      </c>
      <c r="E7" t="s">
        <v>81</v>
      </c>
      <c r="F7" t="s">
        <v>76</v>
      </c>
      <c r="G7">
        <v>6.6148673376234104</v>
      </c>
      <c r="H7">
        <v>1.44405282231642</v>
      </c>
      <c r="I7">
        <v>0</v>
      </c>
      <c r="J7">
        <v>59.193142092292</v>
      </c>
      <c r="K7">
        <v>3521</v>
      </c>
      <c r="L7" t="str">
        <f>DiscreteStatsTable[[#This Row],[ProjectName]]&amp;DiscreteStatsTable[[#This Row],[Name]]&amp;DiscreteStatsTable[[#This Row],[Type]]&amp;DiscreteStatsTable[[#This Row],[Source]]</f>
        <v>Unnamed ProjectflaktWait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6.6148673376234104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6.6148673376234104</v>
      </c>
      <c r="S7" cm="1">
        <f t="array" ref="S7">MAX(IF((DiscreteStatsTable[GroupByKey]=DiscreteStatsTable[[#This Row],[GroupByKey]]),(DiscreteStatsTable[GroupByKey]=DiscreteStatsTable[[#This Row],[GroupByKey]])*DiscreteStatsTable[Average]))</f>
        <v>6.6148673376234104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59.193142092292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3521</v>
      </c>
      <c r="W7">
        <f>IF((DiscreteStatsTable[[#This Row],[RepsRequested]]&gt;1),DiscreteStatsTable[[#This Row],[HalfWidth]],DiscreteStatsTable[[#This Row],[BatchMeansHalfWidth]])</f>
        <v>1.44405282231642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66</v>
      </c>
      <c r="B8" t="s">
        <v>69</v>
      </c>
      <c r="C8">
        <v>1</v>
      </c>
      <c r="D8" t="s">
        <v>70</v>
      </c>
      <c r="E8" t="s">
        <v>71</v>
      </c>
      <c r="F8" t="s">
        <v>72</v>
      </c>
      <c r="G8">
        <v>1.14330549005575</v>
      </c>
      <c r="H8">
        <v>9.9057899878945505E-2</v>
      </c>
      <c r="I8">
        <v>0</v>
      </c>
      <c r="J8">
        <v>10.8891291594409</v>
      </c>
      <c r="K8">
        <v>3798</v>
      </c>
      <c r="L8" t="str">
        <f>DiscreteStatsTable[[#This Row],[ProjectName]]&amp;DiscreteStatsTable[[#This Row],[Name]]&amp;DiscreteStatsTable[[#This Row],[Type]]&amp;DiscreteStatsTable[[#This Row],[Source]]</f>
        <v>Unnamed ProjectInspektion.QueueWaiting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1.14330549005575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1.14330549005575</v>
      </c>
      <c r="S8" cm="1">
        <f t="array" ref="S8">MAX(IF((DiscreteStatsTable[GroupByKey]=DiscreteStatsTable[[#This Row],[GroupByKey]]),(DiscreteStatsTable[GroupByKey]=DiscreteStatsTable[[#This Row],[GroupByKey]])*DiscreteStatsTable[Average]))</f>
        <v>1.14330549005575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10.8891291594409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3798</v>
      </c>
      <c r="W8">
        <f>IF((DiscreteStatsTable[[#This Row],[RepsRequested]]&gt;1),DiscreteStatsTable[[#This Row],[HalfWidth]],DiscreteStatsTable[[#This Row],[BatchMeansHalfWidth]])</f>
        <v>9.9057899878945505E-2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66</v>
      </c>
      <c r="B9" t="s">
        <v>69</v>
      </c>
      <c r="C9">
        <v>1</v>
      </c>
      <c r="D9" t="s">
        <v>82</v>
      </c>
      <c r="E9" t="s">
        <v>71</v>
      </c>
      <c r="F9" t="s">
        <v>72</v>
      </c>
      <c r="G9">
        <v>4.3816012635289097</v>
      </c>
      <c r="H9">
        <v>1.30940570500144</v>
      </c>
      <c r="I9">
        <v>0</v>
      </c>
      <c r="J9">
        <v>36.809140044952102</v>
      </c>
      <c r="K9">
        <v>3526</v>
      </c>
      <c r="L9" t="str">
        <f>DiscreteStatsTable[[#This Row],[ProjectName]]&amp;DiscreteStatsTable[[#This Row],[Name]]&amp;DiscreteStatsTable[[#This Row],[Type]]&amp;DiscreteStatsTable[[#This Row],[Source]]</f>
        <v>Unnamed Projectmontering.QueueWaiting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4.3816012635289097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4.3816012635289097</v>
      </c>
      <c r="S9" cm="1">
        <f t="array" ref="S9">MAX(IF((DiscreteStatsTable[GroupByKey]=DiscreteStatsTable[[#This Row],[GroupByKey]]),(DiscreteStatsTable[GroupByKey]=DiscreteStatsTable[[#This Row],[GroupByKey]])*DiscreteStatsTable[Average]))</f>
        <v>4.3816012635289097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36.809140044952102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3526</v>
      </c>
      <c r="W9">
        <f>IF((DiscreteStatsTable[[#This Row],[RepsRequested]]&gt;1),DiscreteStatsTable[[#This Row],[HalfWidth]],DiscreteStatsTable[[#This Row],[BatchMeansHalfWidth]])</f>
        <v>1.30940570500144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35">
      <c r="A10" t="s">
        <v>66</v>
      </c>
      <c r="B10" t="s">
        <v>69</v>
      </c>
      <c r="C10">
        <v>1</v>
      </c>
      <c r="D10" t="s">
        <v>73</v>
      </c>
      <c r="E10" t="s">
        <v>71</v>
      </c>
      <c r="F10" t="s">
        <v>72</v>
      </c>
      <c r="G10">
        <v>12.725136861432301</v>
      </c>
      <c r="H10">
        <v>2E+20</v>
      </c>
      <c r="I10">
        <v>0</v>
      </c>
      <c r="J10">
        <v>24.189084011915799</v>
      </c>
      <c r="K10">
        <v>276</v>
      </c>
      <c r="L10" t="str">
        <f>DiscreteStatsTable[[#This Row],[ProjectName]]&amp;DiscreteStatsTable[[#This Row],[Name]]&amp;DiscreteStatsTable[[#This Row],[Type]]&amp;DiscreteStatsTable[[#This Row],[Source]]</f>
        <v>Unnamed ProjectReparation.QueueWaiting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12.725136861432301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12.725136861432301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12.725136861432301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24.189084011915799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276</v>
      </c>
      <c r="W10">
        <f>IF((DiscreteStatsTable[[#This Row],[RepsRequested]]&gt;1),DiscreteStatsTable[[#This Row],[HalfWidth]],DiscreteStatsTable[[#This Row],[BatchMeansHalfWidth]])</f>
        <v>2E+20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</sheetData>
  <phoneticPr fontId="2" type="noConversion"/>
  <conditionalFormatting sqref="H2:H10 Q2:Q10">
    <cfRule type="expression" dxfId="20" priority="23">
      <formula>H2=200000000000000000000</formula>
    </cfRule>
  </conditionalFormatting>
  <conditionalFormatting sqref="H2:H10">
    <cfRule type="expression" dxfId="19" priority="21">
      <formula>H2=300000000000000000000</formula>
    </cfRule>
  </conditionalFormatting>
  <conditionalFormatting sqref="L2:Y10">
    <cfRule type="expression" dxfId="18" priority="19">
      <formula>MOD(ROW(),2)=0</formula>
    </cfRule>
  </conditionalFormatting>
  <conditionalFormatting sqref="Y2:Y10">
    <cfRule type="expression" dxfId="17" priority="14">
      <formula>Y2=0</formula>
    </cfRule>
    <cfRule type="expression" dxfId="16" priority="16">
      <formula>Y2=1</formula>
    </cfRule>
  </conditionalFormatting>
  <conditionalFormatting sqref="Y3:Y10">
    <cfRule type="expression" dxfId="15" priority="15">
      <formula>Y3=1</formula>
    </cfRule>
  </conditionalFormatting>
  <conditionalFormatting sqref="W2:W10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0 W2:W10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0"/>
  <sheetViews>
    <sheetView workbookViewId="0">
      <selection activeCell="A2" sqref="A2:L1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6.1796875" bestFit="1" customWidth="1"/>
    <col min="5" max="5" width="21.816406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19.26953125" bestFit="1" customWidth="1"/>
    <col min="12" max="12" width="11.1796875" bestFit="1" customWidth="1"/>
    <col min="13" max="13" width="53.81640625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63281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66</v>
      </c>
      <c r="B2" t="s">
        <v>69</v>
      </c>
      <c r="C2">
        <v>1</v>
      </c>
      <c r="D2" t="s">
        <v>70</v>
      </c>
      <c r="E2" t="s">
        <v>83</v>
      </c>
      <c r="F2" t="s">
        <v>72</v>
      </c>
      <c r="G2">
        <v>0.21711371256158801</v>
      </c>
      <c r="H2">
        <v>1.76818642817228E-2</v>
      </c>
      <c r="I2">
        <v>0</v>
      </c>
      <c r="J2">
        <v>3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ProjectInspektion.QueueNumber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0.21711371256158801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0.21711371256158801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0.21711371256158801</v>
      </c>
      <c r="U2">
        <f>IF((ContinuousStatsTable[[#This Row],[RepsRequested]]&gt;1),ContinuousStatsTable[[#This Row],[HalfWidth]],ContinuousStatsTable[[#This Row],[BatchMeansHalfWidth]])</f>
        <v>1.76818642817228E-2</v>
      </c>
    </row>
    <row r="3" spans="1:21" x14ac:dyDescent="0.35">
      <c r="A3" t="s">
        <v>66</v>
      </c>
      <c r="B3" t="s">
        <v>69</v>
      </c>
      <c r="C3">
        <v>1</v>
      </c>
      <c r="D3" t="s">
        <v>84</v>
      </c>
      <c r="E3" t="s">
        <v>85</v>
      </c>
      <c r="F3" t="s">
        <v>86</v>
      </c>
      <c r="G3">
        <v>0.75760022251051695</v>
      </c>
      <c r="H3">
        <v>9.4627315756569408E-3</v>
      </c>
      <c r="I3">
        <v>0</v>
      </c>
      <c r="J3">
        <v>1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ProjectKontrollantInstantaneous UtilizationResource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0.75760022251051695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0.75760022251051695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0.75760022251051695</v>
      </c>
      <c r="U3">
        <f>IF((ContinuousStatsTable[[#This Row],[RepsRequested]]&gt;1),ContinuousStatsTable[[#This Row],[HalfWidth]],ContinuousStatsTable[[#This Row],[BatchMeansHalfWidth]])</f>
        <v>9.4627315756569408E-3</v>
      </c>
    </row>
    <row r="4" spans="1:21" x14ac:dyDescent="0.35">
      <c r="A4" t="s">
        <v>66</v>
      </c>
      <c r="B4" t="s">
        <v>69</v>
      </c>
      <c r="C4">
        <v>1</v>
      </c>
      <c r="D4" t="s">
        <v>84</v>
      </c>
      <c r="E4" t="s">
        <v>87</v>
      </c>
      <c r="F4" t="s">
        <v>86</v>
      </c>
      <c r="G4">
        <v>0.75760022251051695</v>
      </c>
      <c r="H4">
        <v>9.4627315756569408E-3</v>
      </c>
      <c r="I4">
        <v>0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ProjectKontrollantNumber BusyResource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0.75760022251051695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0.75760022251051695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0.75760022251051695</v>
      </c>
      <c r="U4">
        <f>IF((ContinuousStatsTable[[#This Row],[RepsRequested]]&gt;1),ContinuousStatsTable[[#This Row],[HalfWidth]],ContinuousStatsTable[[#This Row],[BatchMeansHalfWidth]])</f>
        <v>9.4627315756569408E-3</v>
      </c>
    </row>
    <row r="5" spans="1:21" x14ac:dyDescent="0.35">
      <c r="A5" t="s">
        <v>66</v>
      </c>
      <c r="B5" t="s">
        <v>69</v>
      </c>
      <c r="C5">
        <v>1</v>
      </c>
      <c r="D5" t="s">
        <v>84</v>
      </c>
      <c r="E5" t="s">
        <v>88</v>
      </c>
      <c r="F5" t="s">
        <v>86</v>
      </c>
      <c r="G5">
        <v>1</v>
      </c>
      <c r="H5">
        <v>2E+20</v>
      </c>
      <c r="I5">
        <v>1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ProjectKontrollantNumber ScheduledResource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1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1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1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35">
      <c r="A6" t="s">
        <v>66</v>
      </c>
      <c r="B6" t="s">
        <v>69</v>
      </c>
      <c r="C6">
        <v>1</v>
      </c>
      <c r="D6" t="s">
        <v>73</v>
      </c>
      <c r="E6" t="s">
        <v>83</v>
      </c>
      <c r="F6" t="s">
        <v>72</v>
      </c>
      <c r="G6">
        <v>0.175606888687766</v>
      </c>
      <c r="H6">
        <v>2.1288457995554001E-2</v>
      </c>
      <c r="I6">
        <v>0</v>
      </c>
      <c r="J6">
        <v>3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ProjectReparation.QueueNumber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0.175606888687766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0.175606888687766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0.175606888687766</v>
      </c>
      <c r="U6">
        <f>IF((ContinuousStatsTable[[#This Row],[RepsRequested]]&gt;1),ContinuousStatsTable[[#This Row],[HalfWidth]],ContinuousStatsTable[[#This Row],[BatchMeansHalfWidth]])</f>
        <v>2.1288457995554001E-2</v>
      </c>
    </row>
    <row r="7" spans="1:21" x14ac:dyDescent="0.35">
      <c r="A7" t="s">
        <v>66</v>
      </c>
      <c r="B7" t="s">
        <v>69</v>
      </c>
      <c r="C7">
        <v>1</v>
      </c>
      <c r="D7" t="s">
        <v>74</v>
      </c>
      <c r="E7" t="s">
        <v>89</v>
      </c>
      <c r="F7" t="s">
        <v>76</v>
      </c>
      <c r="G7">
        <v>6.0585344173849398</v>
      </c>
      <c r="H7">
        <v>3E+20</v>
      </c>
      <c r="I7">
        <v>0</v>
      </c>
      <c r="J7">
        <v>13</v>
      </c>
      <c r="K7">
        <v>6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ProjectflaktWIPEntity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6.0585344173849398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6.0585344173849398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6.0585344173849398</v>
      </c>
      <c r="U7">
        <f>IF((ContinuousStatsTable[[#This Row],[RepsRequested]]&gt;1),ContinuousStatsTable[[#This Row],[HalfWidth]],ContinuousStatsTable[[#This Row],[BatchMeansHalfWidth]])</f>
        <v>3E+20</v>
      </c>
    </row>
    <row r="8" spans="1:21" x14ac:dyDescent="0.35">
      <c r="A8" t="s">
        <v>66</v>
      </c>
      <c r="B8" t="s">
        <v>69</v>
      </c>
      <c r="C8">
        <v>1</v>
      </c>
      <c r="D8" t="s">
        <v>82</v>
      </c>
      <c r="E8" t="s">
        <v>83</v>
      </c>
      <c r="F8" t="s">
        <v>72</v>
      </c>
      <c r="G8">
        <v>0.77251894849450498</v>
      </c>
      <c r="H8">
        <v>3E+20</v>
      </c>
      <c r="I8">
        <v>0</v>
      </c>
      <c r="J8">
        <v>8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Projectmontering.QueueNumber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0.77251894849450498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0.77251894849450498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0.77251894849450498</v>
      </c>
      <c r="U8">
        <f>IF((ContinuousStatsTable[[#This Row],[RepsRequested]]&gt;1),ContinuousStatsTable[[#This Row],[HalfWidth]],ContinuousStatsTable[[#This Row],[BatchMeansHalfWidth]])</f>
        <v>3E+20</v>
      </c>
    </row>
    <row r="9" spans="1:21" x14ac:dyDescent="0.35">
      <c r="A9" t="s">
        <v>66</v>
      </c>
      <c r="B9" t="s">
        <v>69</v>
      </c>
      <c r="C9">
        <v>1</v>
      </c>
      <c r="D9" t="s">
        <v>90</v>
      </c>
      <c r="E9" t="s">
        <v>85</v>
      </c>
      <c r="F9" t="s">
        <v>86</v>
      </c>
      <c r="G9">
        <v>0.90833548313923096</v>
      </c>
      <c r="H9">
        <v>1.4002941562353301E-2</v>
      </c>
      <c r="I9">
        <v>0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Projectop1Instantaneous UtilizationResource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0.90833548313923096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0.90833548313923096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0.90833548313923096</v>
      </c>
      <c r="U9">
        <f>IF((ContinuousStatsTable[[#This Row],[RepsRequested]]&gt;1),ContinuousStatsTable[[#This Row],[HalfWidth]],ContinuousStatsTable[[#This Row],[BatchMeansHalfWidth]])</f>
        <v>1.4002941562353301E-2</v>
      </c>
    </row>
    <row r="10" spans="1:21" x14ac:dyDescent="0.35">
      <c r="A10" t="s">
        <v>66</v>
      </c>
      <c r="B10" t="s">
        <v>69</v>
      </c>
      <c r="C10">
        <v>1</v>
      </c>
      <c r="D10" t="s">
        <v>90</v>
      </c>
      <c r="E10" t="s">
        <v>87</v>
      </c>
      <c r="F10" t="s">
        <v>86</v>
      </c>
      <c r="G10">
        <v>0.90833548313923096</v>
      </c>
      <c r="H10">
        <v>1.4002941562353301E-2</v>
      </c>
      <c r="I10">
        <v>0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Projectop1Number BusyResource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0.90833548313923096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0.90833548313923096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0.90833548313923096</v>
      </c>
      <c r="U10">
        <f>IF((ContinuousStatsTable[[#This Row],[RepsRequested]]&gt;1),ContinuousStatsTable[[#This Row],[HalfWidth]],ContinuousStatsTable[[#This Row],[BatchMeansHalfWidth]])</f>
        <v>1.4002941562353301E-2</v>
      </c>
    </row>
    <row r="11" spans="1:21" x14ac:dyDescent="0.35">
      <c r="A11" t="s">
        <v>66</v>
      </c>
      <c r="B11" t="s">
        <v>69</v>
      </c>
      <c r="C11">
        <v>1</v>
      </c>
      <c r="D11" t="s">
        <v>90</v>
      </c>
      <c r="E11" t="s">
        <v>88</v>
      </c>
      <c r="F11" t="s">
        <v>86</v>
      </c>
      <c r="G11">
        <v>1</v>
      </c>
      <c r="H11">
        <v>2E+20</v>
      </c>
      <c r="I11">
        <v>1</v>
      </c>
      <c r="J11">
        <v>1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Projectop1Number ScheduledResource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1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</v>
      </c>
      <c r="U11">
        <f>IF((ContinuousStatsTable[[#This Row],[RepsRequested]]&gt;1),ContinuousStatsTable[[#This Row],[HalfWidth]],ContinuousStatsTable[[#This Row],[BatchMeansHalfWidth]])</f>
        <v>2E+20</v>
      </c>
    </row>
    <row r="12" spans="1:21" x14ac:dyDescent="0.35">
      <c r="A12" t="s">
        <v>66</v>
      </c>
      <c r="B12" t="s">
        <v>69</v>
      </c>
      <c r="C12">
        <v>1</v>
      </c>
      <c r="D12" t="s">
        <v>91</v>
      </c>
      <c r="E12" t="s">
        <v>85</v>
      </c>
      <c r="F12" t="s">
        <v>86</v>
      </c>
      <c r="G12">
        <v>0.93106258000748998</v>
      </c>
      <c r="H12">
        <v>1.36414182535691E-2</v>
      </c>
      <c r="I12">
        <v>0</v>
      </c>
      <c r="J12">
        <v>1</v>
      </c>
      <c r="K12">
        <v>1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Projectop2Instantaneous UtilizationResource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0.93106258000748998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0.93106258000748998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0.93106258000748998</v>
      </c>
      <c r="U12" s="5">
        <f>IF((ContinuousStatsTable[[#This Row],[RepsRequested]]&gt;1),ContinuousStatsTable[[#This Row],[HalfWidth]],ContinuousStatsTable[[#This Row],[BatchMeansHalfWidth]])</f>
        <v>1.36414182535691E-2</v>
      </c>
    </row>
    <row r="13" spans="1:21" x14ac:dyDescent="0.35">
      <c r="A13" t="s">
        <v>66</v>
      </c>
      <c r="B13" t="s">
        <v>69</v>
      </c>
      <c r="C13">
        <v>1</v>
      </c>
      <c r="D13" t="s">
        <v>91</v>
      </c>
      <c r="E13" t="s">
        <v>87</v>
      </c>
      <c r="F13" t="s">
        <v>86</v>
      </c>
      <c r="G13">
        <v>0.93106258000748998</v>
      </c>
      <c r="H13">
        <v>1.36414182535691E-2</v>
      </c>
      <c r="I13">
        <v>0</v>
      </c>
      <c r="J13">
        <v>1</v>
      </c>
      <c r="K13">
        <v>1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Projectop2Number BusyResource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1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0.93106258000748998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0.93106258000748998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0.93106258000748998</v>
      </c>
      <c r="U13" s="5">
        <f>IF((ContinuousStatsTable[[#This Row],[RepsRequested]]&gt;1),ContinuousStatsTable[[#This Row],[HalfWidth]],ContinuousStatsTable[[#This Row],[BatchMeansHalfWidth]])</f>
        <v>1.36414182535691E-2</v>
      </c>
    </row>
    <row r="14" spans="1:21" x14ac:dyDescent="0.35">
      <c r="A14" t="s">
        <v>66</v>
      </c>
      <c r="B14" t="s">
        <v>69</v>
      </c>
      <c r="C14">
        <v>1</v>
      </c>
      <c r="D14" t="s">
        <v>91</v>
      </c>
      <c r="E14" t="s">
        <v>88</v>
      </c>
      <c r="F14" t="s">
        <v>86</v>
      </c>
      <c r="G14">
        <v>1</v>
      </c>
      <c r="H14">
        <v>2E+20</v>
      </c>
      <c r="I14">
        <v>1</v>
      </c>
      <c r="J14">
        <v>1</v>
      </c>
      <c r="K14">
        <v>1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Projectop2Number ScheduledResource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1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1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1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1</v>
      </c>
      <c r="U14" s="5">
        <f>IF((ContinuousStatsTable[[#This Row],[RepsRequested]]&gt;1),ContinuousStatsTable[[#This Row],[HalfWidth]],ContinuousStatsTable[[#This Row],[BatchMeansHalfWidth]])</f>
        <v>2E+20</v>
      </c>
    </row>
    <row r="15" spans="1:21" x14ac:dyDescent="0.35">
      <c r="A15" t="s">
        <v>66</v>
      </c>
      <c r="B15" t="s">
        <v>69</v>
      </c>
      <c r="C15">
        <v>1</v>
      </c>
      <c r="D15" t="s">
        <v>92</v>
      </c>
      <c r="E15" t="s">
        <v>85</v>
      </c>
      <c r="F15" t="s">
        <v>86</v>
      </c>
      <c r="G15">
        <v>0.93870809472566796</v>
      </c>
      <c r="H15">
        <v>1.1234243196289099E-2</v>
      </c>
      <c r="I15">
        <v>0</v>
      </c>
      <c r="J15">
        <v>1</v>
      </c>
      <c r="K15">
        <v>1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Projectop3Instantaneous UtilizationResource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1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0.93870809472566796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0.93870809472566796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0.93870809472566796</v>
      </c>
      <c r="U15" s="5">
        <f>IF((ContinuousStatsTable[[#This Row],[RepsRequested]]&gt;1),ContinuousStatsTable[[#This Row],[HalfWidth]],ContinuousStatsTable[[#This Row],[BatchMeansHalfWidth]])</f>
        <v>1.1234243196289099E-2</v>
      </c>
    </row>
    <row r="16" spans="1:21" x14ac:dyDescent="0.35">
      <c r="A16" t="s">
        <v>66</v>
      </c>
      <c r="B16" t="s">
        <v>69</v>
      </c>
      <c r="C16">
        <v>1</v>
      </c>
      <c r="D16" t="s">
        <v>92</v>
      </c>
      <c r="E16" t="s">
        <v>87</v>
      </c>
      <c r="F16" t="s">
        <v>86</v>
      </c>
      <c r="G16">
        <v>0.93870809472566796</v>
      </c>
      <c r="H16">
        <v>1.1234243196289099E-2</v>
      </c>
      <c r="I16">
        <v>0</v>
      </c>
      <c r="J16">
        <v>1</v>
      </c>
      <c r="K16">
        <v>1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Projectop3Number BusyResource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1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0.93870809472566796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0.93870809472566796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0.93870809472566796</v>
      </c>
      <c r="U16" s="5">
        <f>IF((ContinuousStatsTable[[#This Row],[RepsRequested]]&gt;1),ContinuousStatsTable[[#This Row],[HalfWidth]],ContinuousStatsTable[[#This Row],[BatchMeansHalfWidth]])</f>
        <v>1.1234243196289099E-2</v>
      </c>
    </row>
    <row r="17" spans="1:21" x14ac:dyDescent="0.35">
      <c r="A17" t="s">
        <v>66</v>
      </c>
      <c r="B17" t="s">
        <v>69</v>
      </c>
      <c r="C17">
        <v>1</v>
      </c>
      <c r="D17" t="s">
        <v>92</v>
      </c>
      <c r="E17" t="s">
        <v>88</v>
      </c>
      <c r="F17" t="s">
        <v>86</v>
      </c>
      <c r="G17">
        <v>1</v>
      </c>
      <c r="H17">
        <v>2E+20</v>
      </c>
      <c r="I17">
        <v>1</v>
      </c>
      <c r="J17">
        <v>1</v>
      </c>
      <c r="K17">
        <v>1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Projectop3Number ScheduledResource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1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1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1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1</v>
      </c>
      <c r="U17" s="5">
        <f>IF((ContinuousStatsTable[[#This Row],[RepsRequested]]&gt;1),ContinuousStatsTable[[#This Row],[HalfWidth]],ContinuousStatsTable[[#This Row],[BatchMeansHalfWidth]])</f>
        <v>2E+20</v>
      </c>
    </row>
    <row r="18" spans="1:21" x14ac:dyDescent="0.35">
      <c r="A18" t="s">
        <v>66</v>
      </c>
      <c r="B18" t="s">
        <v>69</v>
      </c>
      <c r="C18">
        <v>1</v>
      </c>
      <c r="D18" t="s">
        <v>93</v>
      </c>
      <c r="E18" t="s">
        <v>85</v>
      </c>
      <c r="F18" t="s">
        <v>86</v>
      </c>
      <c r="G18">
        <v>0.94013098899391101</v>
      </c>
      <c r="H18">
        <v>3E+20</v>
      </c>
      <c r="I18">
        <v>0</v>
      </c>
      <c r="J18">
        <v>1</v>
      </c>
      <c r="K18">
        <v>1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Projectop4Instantaneous UtilizationResource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1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0.94013098899391101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0.94013098899391101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0.94013098899391101</v>
      </c>
      <c r="U18" s="5">
        <f>IF((ContinuousStatsTable[[#This Row],[RepsRequested]]&gt;1),ContinuousStatsTable[[#This Row],[HalfWidth]],ContinuousStatsTable[[#This Row],[BatchMeansHalfWidth]])</f>
        <v>3E+20</v>
      </c>
    </row>
    <row r="19" spans="1:21" x14ac:dyDescent="0.35">
      <c r="A19" t="s">
        <v>66</v>
      </c>
      <c r="B19" t="s">
        <v>69</v>
      </c>
      <c r="C19">
        <v>1</v>
      </c>
      <c r="D19" t="s">
        <v>93</v>
      </c>
      <c r="E19" t="s">
        <v>87</v>
      </c>
      <c r="F19" t="s">
        <v>86</v>
      </c>
      <c r="G19">
        <v>0.94013098899391101</v>
      </c>
      <c r="H19">
        <v>3E+20</v>
      </c>
      <c r="I19">
        <v>0</v>
      </c>
      <c r="J19">
        <v>1</v>
      </c>
      <c r="K19">
        <v>1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Projectop4Number BusyResource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1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0.94013098899391101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0.94013098899391101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0.94013098899391101</v>
      </c>
      <c r="U19" s="5">
        <f>IF((ContinuousStatsTable[[#This Row],[RepsRequested]]&gt;1),ContinuousStatsTable[[#This Row],[HalfWidth]],ContinuousStatsTable[[#This Row],[BatchMeansHalfWidth]])</f>
        <v>3E+20</v>
      </c>
    </row>
    <row r="20" spans="1:21" x14ac:dyDescent="0.35">
      <c r="A20" t="s">
        <v>66</v>
      </c>
      <c r="B20" t="s">
        <v>69</v>
      </c>
      <c r="C20">
        <v>1</v>
      </c>
      <c r="D20" t="s">
        <v>93</v>
      </c>
      <c r="E20" t="s">
        <v>88</v>
      </c>
      <c r="F20" t="s">
        <v>86</v>
      </c>
      <c r="G20">
        <v>1</v>
      </c>
      <c r="H20">
        <v>2E+20</v>
      </c>
      <c r="I20">
        <v>1</v>
      </c>
      <c r="J20">
        <v>1</v>
      </c>
      <c r="K20">
        <v>1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Projectop4Number ScheduledResource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1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1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1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1</v>
      </c>
      <c r="U20" s="5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20">
    <cfRule type="expression" dxfId="11" priority="9">
      <formula>H2=200000000000000000000</formula>
    </cfRule>
  </conditionalFormatting>
  <conditionalFormatting sqref="H2:H20">
    <cfRule type="expression" dxfId="10" priority="7">
      <formula>H2=300000000000000000000</formula>
    </cfRule>
  </conditionalFormatting>
  <conditionalFormatting sqref="M2:U20">
    <cfRule type="expression" dxfId="9" priority="5">
      <formula>MOD(ROW(),2)=0</formula>
    </cfRule>
  </conditionalFormatting>
  <conditionalFormatting sqref="U2:U20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20 U2:U20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7.08984375" bestFit="1" customWidth="1"/>
    <col min="6" max="6" width="8.7265625" bestFit="1" customWidth="1"/>
    <col min="7" max="7" width="15.81640625" bestFit="1" customWidth="1"/>
    <col min="8" max="8" width="13.3632812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63281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4"/>
  <sheetViews>
    <sheetView workbookViewId="0">
      <selection activeCell="A2" sqref="A2:H3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7.90625" bestFit="1" customWidth="1"/>
    <col min="5" max="5" width="18.36328125" bestFit="1" customWidth="1"/>
    <col min="6" max="6" width="8.7265625" bestFit="1" customWidth="1"/>
    <col min="7" max="7" width="15.81640625" bestFit="1" customWidth="1"/>
    <col min="8" max="8" width="11.1796875" bestFit="1" customWidth="1"/>
    <col min="9" max="9" width="68.1796875" bestFit="1" customWidth="1"/>
    <col min="10" max="10" width="16.08984375" bestFit="1" customWidth="1"/>
    <col min="11" max="11" width="11.81640625" bestFit="1" customWidth="1"/>
    <col min="12" max="12" width="18.81640625" bestFit="1" customWidth="1"/>
    <col min="13" max="13" width="19" bestFit="1" customWidth="1"/>
    <col min="14" max="14" width="11.6328125" bestFit="1" customWidth="1"/>
    <col min="15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66</v>
      </c>
      <c r="B2" t="s">
        <v>69</v>
      </c>
      <c r="C2">
        <v>1</v>
      </c>
      <c r="D2" t="s">
        <v>94</v>
      </c>
      <c r="E2" t="s">
        <v>95</v>
      </c>
      <c r="F2" t="s">
        <v>86</v>
      </c>
      <c r="G2">
        <v>3798</v>
      </c>
      <c r="H2">
        <v>0</v>
      </c>
      <c r="I2" t="str">
        <f>OutputTable[[#This Row],[ProjectName]]&amp;OutputTable[[#This Row],[Name]]&amp;OutputTable[[#This Row],[Type]]&amp;OutputTable[[#This Row],[Source]]</f>
        <v>Unnamed ProjectKontrollant.NumberSeizedTotal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3798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3798</v>
      </c>
      <c r="P2" cm="1">
        <f t="array" ref="P2">MAX(IF((OutputTable[GroupByKey]=OutputTable[[#This Row],[GroupByKey]]),(OutputTable[GroupByKey]=OutputTable[[#This Row],[GroupByKey]])*OutputTable[RecordedValue]))</f>
        <v>3798</v>
      </c>
    </row>
    <row r="3" spans="1:16" x14ac:dyDescent="0.35">
      <c r="A3" t="s">
        <v>66</v>
      </c>
      <c r="B3" t="s">
        <v>69</v>
      </c>
      <c r="C3">
        <v>1</v>
      </c>
      <c r="D3" t="s">
        <v>96</v>
      </c>
      <c r="E3" t="s">
        <v>97</v>
      </c>
      <c r="F3" t="s">
        <v>86</v>
      </c>
      <c r="G3">
        <v>0.75760022251051695</v>
      </c>
      <c r="H3">
        <v>0</v>
      </c>
      <c r="I3" t="str">
        <f>OutputTable[[#This Row],[ProjectName]]&amp;OutputTable[[#This Row],[Name]]&amp;OutputTable[[#This Row],[Type]]&amp;OutputTable[[#This Row],[Source]]</f>
        <v>Unnamed ProjectKontrollant.ScheduledUtilizationScheduled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0.75760022251051695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0.75760022251051695</v>
      </c>
      <c r="P3" cm="1">
        <f t="array" ref="P3">MAX(IF((OutputTable[GroupByKey]=OutputTable[[#This Row],[GroupByKey]]),(OutputTable[GroupByKey]=OutputTable[[#This Row],[GroupByKey]])*OutputTable[RecordedValue]))</f>
        <v>0.75760022251051695</v>
      </c>
    </row>
    <row r="4" spans="1:16" x14ac:dyDescent="0.35">
      <c r="A4" t="s">
        <v>66</v>
      </c>
      <c r="B4" t="s">
        <v>69</v>
      </c>
      <c r="C4">
        <v>1</v>
      </c>
      <c r="D4" t="s">
        <v>98</v>
      </c>
      <c r="E4" t="s">
        <v>99</v>
      </c>
      <c r="F4" t="s">
        <v>100</v>
      </c>
      <c r="G4">
        <v>3521</v>
      </c>
      <c r="H4">
        <v>0</v>
      </c>
      <c r="I4" t="str">
        <f>OutputTable[[#This Row],[ProjectName]]&amp;OutputTable[[#This Row],[Name]]&amp;OutputTable[[#This Row],[Type]]&amp;OutputTable[[#This Row],[Source]]</f>
        <v>Unnamed ProjectSystem.NumberOutNumber OutSystem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3521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3521</v>
      </c>
      <c r="P4" cm="1">
        <f t="array" ref="P4">MAX(IF((OutputTable[GroupByKey]=OutputTable[[#This Row],[GroupByKey]]),(OutputTable[GroupByKey]=OutputTable[[#This Row],[GroupByKey]])*OutputTable[RecordedValue]))</f>
        <v>3521</v>
      </c>
    </row>
    <row r="5" spans="1:16" x14ac:dyDescent="0.35">
      <c r="A5" t="s">
        <v>66</v>
      </c>
      <c r="B5" t="s">
        <v>69</v>
      </c>
      <c r="C5">
        <v>1</v>
      </c>
      <c r="D5" t="s">
        <v>101</v>
      </c>
      <c r="E5" t="s">
        <v>102</v>
      </c>
      <c r="F5" t="s">
        <v>76</v>
      </c>
      <c r="G5">
        <v>3527</v>
      </c>
      <c r="H5">
        <v>0</v>
      </c>
      <c r="I5" t="str">
        <f>OutputTable[[#This Row],[ProjectName]]&amp;OutputTable[[#This Row],[Name]]&amp;OutputTable[[#This Row],[Type]]&amp;OutputTable[[#This Row],[Source]]</f>
        <v>Unnamed Projectflakt.NumberInNumber InEntity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3527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3527</v>
      </c>
      <c r="P5" cm="1">
        <f t="array" ref="P5">MAX(IF((OutputTable[GroupByKey]=OutputTable[[#This Row],[GroupByKey]]),(OutputTable[GroupByKey]=OutputTable[[#This Row],[GroupByKey]])*OutputTable[RecordedValue]))</f>
        <v>3527</v>
      </c>
    </row>
    <row r="6" spans="1:16" x14ac:dyDescent="0.35">
      <c r="A6" t="s">
        <v>66</v>
      </c>
      <c r="B6" t="s">
        <v>69</v>
      </c>
      <c r="C6">
        <v>1</v>
      </c>
      <c r="D6" t="s">
        <v>103</v>
      </c>
      <c r="E6" t="s">
        <v>99</v>
      </c>
      <c r="F6" t="s">
        <v>76</v>
      </c>
      <c r="G6">
        <v>3521</v>
      </c>
      <c r="H6">
        <v>0</v>
      </c>
      <c r="I6" t="str">
        <f>OutputTable[[#This Row],[ProjectName]]&amp;OutputTable[[#This Row],[Name]]&amp;OutputTable[[#This Row],[Type]]&amp;OutputTable[[#This Row],[Source]]</f>
        <v>Unnamed Projectflakt.NumberOutNumber OutEntity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3521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3521</v>
      </c>
      <c r="P6" cm="1">
        <f t="array" ref="P6">MAX(IF((OutputTable[GroupByKey]=OutputTable[[#This Row],[GroupByKey]]),(OutputTable[GroupByKey]=OutputTable[[#This Row],[GroupByKey]])*OutputTable[RecordedValue]))</f>
        <v>3521</v>
      </c>
    </row>
    <row r="7" spans="1:16" x14ac:dyDescent="0.35">
      <c r="A7" t="s">
        <v>66</v>
      </c>
      <c r="B7" t="s">
        <v>69</v>
      </c>
      <c r="C7">
        <v>1</v>
      </c>
      <c r="D7" t="s">
        <v>104</v>
      </c>
      <c r="E7" t="s">
        <v>95</v>
      </c>
      <c r="F7" t="s">
        <v>86</v>
      </c>
      <c r="G7">
        <v>1010</v>
      </c>
      <c r="H7">
        <v>0</v>
      </c>
      <c r="I7" t="str">
        <f>OutputTable[[#This Row],[ProjectName]]&amp;OutputTable[[#This Row],[Name]]&amp;OutputTable[[#This Row],[Type]]&amp;OutputTable[[#This Row],[Source]]</f>
        <v>Unnamed Projectop1.NumberSeizedTotal Number SeizedResource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1010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1010</v>
      </c>
      <c r="P7" cm="1">
        <f t="array" ref="P7">MAX(IF((OutputTable[GroupByKey]=OutputTable[[#This Row],[GroupByKey]]),(OutputTable[GroupByKey]=OutputTable[[#This Row],[GroupByKey]])*OutputTable[RecordedValue]))</f>
        <v>1010</v>
      </c>
    </row>
    <row r="8" spans="1:16" x14ac:dyDescent="0.35">
      <c r="A8" t="s">
        <v>66</v>
      </c>
      <c r="B8" t="s">
        <v>69</v>
      </c>
      <c r="C8">
        <v>1</v>
      </c>
      <c r="D8" t="s">
        <v>105</v>
      </c>
      <c r="E8" t="s">
        <v>97</v>
      </c>
      <c r="F8" t="s">
        <v>86</v>
      </c>
      <c r="G8">
        <v>0.90833548313923096</v>
      </c>
      <c r="H8">
        <v>0</v>
      </c>
      <c r="I8" t="str">
        <f>OutputTable[[#This Row],[ProjectName]]&amp;OutputTable[[#This Row],[Name]]&amp;OutputTable[[#This Row],[Type]]&amp;OutputTable[[#This Row],[Source]]</f>
        <v>Unnamed Projectop1.ScheduledUtilizationScheduled UtilizationResource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0.90833548313923096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0.90833548313923096</v>
      </c>
      <c r="P8" cm="1">
        <f t="array" ref="P8">MAX(IF((OutputTable[GroupByKey]=OutputTable[[#This Row],[GroupByKey]]),(OutputTable[GroupByKey]=OutputTable[[#This Row],[GroupByKey]])*OutputTable[RecordedValue]))</f>
        <v>0.90833548313923096</v>
      </c>
    </row>
    <row r="9" spans="1:16" x14ac:dyDescent="0.35">
      <c r="A9" t="s">
        <v>66</v>
      </c>
      <c r="B9" t="s">
        <v>69</v>
      </c>
      <c r="C9">
        <v>1</v>
      </c>
      <c r="D9" t="s">
        <v>106</v>
      </c>
      <c r="E9" t="s">
        <v>95</v>
      </c>
      <c r="F9" t="s">
        <v>86</v>
      </c>
      <c r="G9">
        <v>952</v>
      </c>
      <c r="H9">
        <v>0</v>
      </c>
      <c r="I9" t="str">
        <f>OutputTable[[#This Row],[ProjectName]]&amp;OutputTable[[#This Row],[Name]]&amp;OutputTable[[#This Row],[Type]]&amp;OutputTable[[#This Row],[Source]]</f>
        <v>Unnamed Projectop2.NumberSeizedTotal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1</v>
      </c>
      <c r="K9" cm="1">
        <f t="array" ref="K9">IFERROR(AVERAGE(IF((OutputTable[GroupByKey]=OutputTable[[#This Row],[GroupByKey]]),(OutputTable[GroupByKey]=OutputTable[[#This Row],[GroupByKey]])*OutputTable[RecordedValue])),0)</f>
        <v>952</v>
      </c>
      <c r="L9" cm="1">
        <f t="array" ref="L9">IFERROR(_xlfn.STDEV.S(IF((OutputTable[GroupByKey]=OutputTable[[#This Row],[GroupByKey]]),(OutputTable[GroupByKey]=OutputTable[[#This Row],[GroupByKey]])*OutputTable[RecordedValue])),0)</f>
        <v>0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 cm="1">
        <f t="array" ref="O9">MIN(IF((OutputTable[GroupByKey]=OutputTable[[#This Row],[GroupByKey]]),(OutputTable[GroupByKey]=OutputTable[[#This Row],[GroupByKey]])*OutputTable[RecordedValue]))</f>
        <v>952</v>
      </c>
      <c r="P9" cm="1">
        <f t="array" ref="P9">MAX(IF((OutputTable[GroupByKey]=OutputTable[[#This Row],[GroupByKey]]),(OutputTable[GroupByKey]=OutputTable[[#This Row],[GroupByKey]])*OutputTable[RecordedValue]))</f>
        <v>952</v>
      </c>
    </row>
    <row r="10" spans="1:16" x14ac:dyDescent="0.35">
      <c r="A10" t="s">
        <v>66</v>
      </c>
      <c r="B10" t="s">
        <v>69</v>
      </c>
      <c r="C10">
        <v>1</v>
      </c>
      <c r="D10" t="s">
        <v>107</v>
      </c>
      <c r="E10" t="s">
        <v>97</v>
      </c>
      <c r="F10" t="s">
        <v>86</v>
      </c>
      <c r="G10">
        <v>0.93106258000748998</v>
      </c>
      <c r="H10">
        <v>0</v>
      </c>
      <c r="I10" t="str">
        <f>OutputTable[[#This Row],[ProjectName]]&amp;OutputTable[[#This Row],[Name]]&amp;OutputTable[[#This Row],[Type]]&amp;OutputTable[[#This Row],[Source]]</f>
        <v>Unnamed Projectop2.ScheduledUtilizationScheduled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1</v>
      </c>
      <c r="K10" cm="1">
        <f t="array" ref="K10">IFERROR(AVERAGE(IF((OutputTable[GroupByKey]=OutputTable[[#This Row],[GroupByKey]]),(OutputTable[GroupByKey]=OutputTable[[#This Row],[GroupByKey]])*OutputTable[RecordedValue])),0)</f>
        <v>0.93106258000748998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 cm="1">
        <f t="array" ref="O10">MIN(IF((OutputTable[GroupByKey]=OutputTable[[#This Row],[GroupByKey]]),(OutputTable[GroupByKey]=OutputTable[[#This Row],[GroupByKey]])*OutputTable[RecordedValue]))</f>
        <v>0.93106258000748998</v>
      </c>
      <c r="P10" cm="1">
        <f t="array" ref="P10">MAX(IF((OutputTable[GroupByKey]=OutputTable[[#This Row],[GroupByKey]]),(OutputTable[GroupByKey]=OutputTable[[#This Row],[GroupByKey]])*OutputTable[RecordedValue]))</f>
        <v>0.93106258000748998</v>
      </c>
    </row>
    <row r="11" spans="1:16" x14ac:dyDescent="0.35">
      <c r="A11" t="s">
        <v>66</v>
      </c>
      <c r="B11" t="s">
        <v>69</v>
      </c>
      <c r="C11">
        <v>1</v>
      </c>
      <c r="D11" t="s">
        <v>108</v>
      </c>
      <c r="E11" t="s">
        <v>95</v>
      </c>
      <c r="F11" t="s">
        <v>86</v>
      </c>
      <c r="G11">
        <v>922</v>
      </c>
      <c r="H11">
        <v>0</v>
      </c>
      <c r="I11" t="str">
        <f>OutputTable[[#This Row],[ProjectName]]&amp;OutputTable[[#This Row],[Name]]&amp;OutputTable[[#This Row],[Type]]&amp;OutputTable[[#This Row],[Source]]</f>
        <v>Unnamed Projectop3.NumberSeizedTotal Number SeizedResource</v>
      </c>
      <c r="J11" cm="1">
        <f t="array" ref="J11">MAX(IF((ProjectInfoTable[ProjectName]=OutputTable[[#This Row],[ProjectName]]),(ProjectInfoTable[ProjectName]=OutputTable[[#This Row],[ProjectName]])*ProjectInfoTable[NumberOfReplications]))</f>
        <v>1</v>
      </c>
      <c r="K11" cm="1">
        <f t="array" ref="K11">IFERROR(AVERAGE(IF((OutputTable[GroupByKey]=OutputTable[[#This Row],[GroupByKey]]),(OutputTable[GroupByKey]=OutputTable[[#This Row],[GroupByKey]])*OutputTable[RecordedValue])),0)</f>
        <v>922</v>
      </c>
      <c r="L11" cm="1">
        <f t="array" ref="L11">IFERROR(_xlfn.STDEV.S(IF((OutputTable[GroupByKey]=OutputTable[[#This Row],[GroupByKey]]),(OutputTable[GroupByKey]=OutputTable[[#This Row],[GroupByKey]])*OutputTable[RecordedValue])),0)</f>
        <v>0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" cm="1">
        <f t="array" ref="O11">MIN(IF((OutputTable[GroupByKey]=OutputTable[[#This Row],[GroupByKey]]),(OutputTable[GroupByKey]=OutputTable[[#This Row],[GroupByKey]])*OutputTable[RecordedValue]))</f>
        <v>922</v>
      </c>
      <c r="P11" cm="1">
        <f t="array" ref="P11">MAX(IF((OutputTable[GroupByKey]=OutputTable[[#This Row],[GroupByKey]]),(OutputTable[GroupByKey]=OutputTable[[#This Row],[GroupByKey]])*OutputTable[RecordedValue]))</f>
        <v>922</v>
      </c>
    </row>
    <row r="12" spans="1:16" x14ac:dyDescent="0.35">
      <c r="A12" t="s">
        <v>66</v>
      </c>
      <c r="B12" t="s">
        <v>69</v>
      </c>
      <c r="C12">
        <v>1</v>
      </c>
      <c r="D12" t="s">
        <v>109</v>
      </c>
      <c r="E12" t="s">
        <v>97</v>
      </c>
      <c r="F12" t="s">
        <v>86</v>
      </c>
      <c r="G12">
        <v>0.93870809472566796</v>
      </c>
      <c r="H12">
        <v>0</v>
      </c>
      <c r="I12" t="str">
        <f>OutputTable[[#This Row],[ProjectName]]&amp;OutputTable[[#This Row],[Name]]&amp;OutputTable[[#This Row],[Type]]&amp;OutputTable[[#This Row],[Source]]</f>
        <v>Unnamed Projectop3.ScheduledUtilizationScheduled UtilizationResource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1</v>
      </c>
      <c r="K12" cm="1">
        <f t="array" ref="K12">IFERROR(AVERAGE(IF((OutputTable[GroupByKey]=OutputTable[[#This Row],[GroupByKey]]),(OutputTable[GroupByKey]=OutputTable[[#This Row],[GroupByKey]])*OutputTable[RecordedValue])),0)</f>
        <v>0.93870809472566796</v>
      </c>
      <c r="L12" cm="1">
        <f t="array" ref="L12">IFERROR(_xlfn.STDEV.S(IF((OutputTable[GroupByKey]=OutputTable[[#This Row],[GroupByKey]]),(OutputTable[GroupByKey]=OutputTable[[#This Row],[GroupByKey]])*OutputTable[RecordedValue])),0)</f>
        <v>0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" cm="1">
        <f t="array" ref="O12">MIN(IF((OutputTable[GroupByKey]=OutputTable[[#This Row],[GroupByKey]]),(OutputTable[GroupByKey]=OutputTable[[#This Row],[GroupByKey]])*OutputTable[RecordedValue]))</f>
        <v>0.93870809472566796</v>
      </c>
      <c r="P12" cm="1">
        <f t="array" ref="P12">MAX(IF((OutputTable[GroupByKey]=OutputTable[[#This Row],[GroupByKey]]),(OutputTable[GroupByKey]=OutputTable[[#This Row],[GroupByKey]])*OutputTable[RecordedValue]))</f>
        <v>0.93870809472566796</v>
      </c>
    </row>
    <row r="13" spans="1:16" x14ac:dyDescent="0.35">
      <c r="A13" t="s">
        <v>66</v>
      </c>
      <c r="B13" t="s">
        <v>69</v>
      </c>
      <c r="C13">
        <v>1</v>
      </c>
      <c r="D13" t="s">
        <v>110</v>
      </c>
      <c r="E13" t="s">
        <v>95</v>
      </c>
      <c r="F13" t="s">
        <v>86</v>
      </c>
      <c r="G13">
        <v>918</v>
      </c>
      <c r="H13">
        <v>0</v>
      </c>
      <c r="I13" t="str">
        <f>OutputTable[[#This Row],[ProjectName]]&amp;OutputTable[[#This Row],[Name]]&amp;OutputTable[[#This Row],[Type]]&amp;OutputTable[[#This Row],[Source]]</f>
        <v>Unnamed Projectop4.NumberSeizedTotal Number SeizedResource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1</v>
      </c>
      <c r="K13" cm="1">
        <f t="array" ref="K13">IFERROR(AVERAGE(IF((OutputTable[GroupByKey]=OutputTable[[#This Row],[GroupByKey]]),(OutputTable[GroupByKey]=OutputTable[[#This Row],[GroupByKey]])*OutputTable[RecordedValue])),0)</f>
        <v>918</v>
      </c>
      <c r="L13" cm="1">
        <f t="array" ref="L13">IFERROR(_xlfn.STDEV.S(IF((OutputTable[GroupByKey]=OutputTable[[#This Row],[GroupByKey]]),(OutputTable[GroupByKey]=OutputTable[[#This Row],[GroupByKey]])*OutputTable[RecordedValue])),0)</f>
        <v>0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3" cm="1">
        <f t="array" ref="O13">MIN(IF((OutputTable[GroupByKey]=OutputTable[[#This Row],[GroupByKey]]),(OutputTable[GroupByKey]=OutputTable[[#This Row],[GroupByKey]])*OutputTable[RecordedValue]))</f>
        <v>918</v>
      </c>
      <c r="P13" cm="1">
        <f t="array" ref="P13">MAX(IF((OutputTable[GroupByKey]=OutputTable[[#This Row],[GroupByKey]]),(OutputTable[GroupByKey]=OutputTable[[#This Row],[GroupByKey]])*OutputTable[RecordedValue]))</f>
        <v>918</v>
      </c>
    </row>
    <row r="14" spans="1:16" x14ac:dyDescent="0.35">
      <c r="A14" t="s">
        <v>66</v>
      </c>
      <c r="B14" t="s">
        <v>69</v>
      </c>
      <c r="C14">
        <v>1</v>
      </c>
      <c r="D14" t="s">
        <v>111</v>
      </c>
      <c r="E14" t="s">
        <v>97</v>
      </c>
      <c r="F14" t="s">
        <v>86</v>
      </c>
      <c r="G14">
        <v>0.94013098899391101</v>
      </c>
      <c r="H14">
        <v>0</v>
      </c>
      <c r="I14" t="str">
        <f>OutputTable[[#This Row],[ProjectName]]&amp;OutputTable[[#This Row],[Name]]&amp;OutputTable[[#This Row],[Type]]&amp;OutputTable[[#This Row],[Source]]</f>
        <v>Unnamed Projectop4.ScheduledUtilizationScheduled UtilizationResource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1</v>
      </c>
      <c r="K14" cm="1">
        <f t="array" ref="K14">IFERROR(AVERAGE(IF((OutputTable[GroupByKey]=OutputTable[[#This Row],[GroupByKey]]),(OutputTable[GroupByKey]=OutputTable[[#This Row],[GroupByKey]])*OutputTable[RecordedValue])),0)</f>
        <v>0.94013098899391101</v>
      </c>
      <c r="L14" cm="1">
        <f t="array" ref="L14">IFERROR(_xlfn.STDEV.S(IF((OutputTable[GroupByKey]=OutputTable[[#This Row],[GroupByKey]]),(OutputTable[GroupByKey]=OutputTable[[#This Row],[GroupByKey]])*OutputTable[RecordedValue])),0)</f>
        <v>0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4" cm="1">
        <f t="array" ref="O14">MIN(IF((OutputTable[GroupByKey]=OutputTable[[#This Row],[GroupByKey]]),(OutputTable[GroupByKey]=OutputTable[[#This Row],[GroupByKey]])*OutputTable[RecordedValue]))</f>
        <v>0.94013098899391101</v>
      </c>
      <c r="P14" cm="1">
        <f t="array" ref="P14">MAX(IF((OutputTable[GroupByKey]=OutputTable[[#This Row],[GroupByKey]]),(OutputTable[GroupByKey]=OutputTable[[#This Row],[GroupByKey]])*OutputTable[RecordedValue]))</f>
        <v>0.94013098899391101</v>
      </c>
    </row>
  </sheetData>
  <phoneticPr fontId="2" type="noConversion"/>
  <conditionalFormatting sqref="I2:P14">
    <cfRule type="expression" dxfId="3" priority="2">
      <formula>MOD(ROW(),2)=0</formula>
    </cfRule>
  </conditionalFormatting>
  <conditionalFormatting sqref="N2:N14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26953125" bestFit="1" customWidth="1"/>
    <col min="8" max="8" width="21.08984375" bestFit="1" customWidth="1"/>
    <col min="9" max="9" width="23.1796875" bestFit="1" customWidth="1"/>
    <col min="10" max="10" width="24.54296875" bestFit="1" customWidth="1"/>
    <col min="11" max="11" width="15" bestFit="1" customWidth="1"/>
    <col min="12" max="12" width="13.36328125" bestFit="1" customWidth="1"/>
    <col min="13" max="13" width="28.36328125" bestFit="1" customWidth="1"/>
    <col min="14" max="14" width="29.1796875" bestFit="1" customWidth="1"/>
    <col min="15" max="15" width="16.08984375" bestFit="1" customWidth="1"/>
    <col min="16" max="16" width="27.08984375" bestFit="1" customWidth="1"/>
    <col min="17" max="17" width="28" bestFit="1" customWidth="1"/>
    <col min="18" max="18" width="29.26953125" bestFit="1" customWidth="1"/>
    <col min="19" max="19" width="28.26953125" bestFit="1" customWidth="1"/>
    <col min="20" max="20" width="26.26953125" bestFit="1" customWidth="1"/>
    <col min="21" max="21" width="29.81640625" bestFit="1" customWidth="1"/>
    <col min="22" max="22" width="31.81640625" bestFit="1" customWidth="1"/>
    <col min="23" max="23" width="32.17968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Bashir Adlan</cp:lastModifiedBy>
  <cp:lastPrinted>2022-03-22T10:33:10Z</cp:lastPrinted>
  <dcterms:created xsi:type="dcterms:W3CDTF">2020-06-29T21:30:31Z</dcterms:created>
  <dcterms:modified xsi:type="dcterms:W3CDTF">2026-02-22T21:41:23Z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