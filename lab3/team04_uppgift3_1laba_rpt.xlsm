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3\"/>
    </mc:Choice>
  </mc:AlternateContent>
  <xr:revisionPtr revIDLastSave="0" documentId="13_ncr:1_{4D2A760B-278B-47FF-A96F-7A9C1C12A0B2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ContinuousTimeStatsByRep!$A$1:$L$16</definedName>
    <definedName name="ExternalData_1" localSheetId="4" hidden="1">CounterStatsByRep!$A$1:$G$2</definedName>
    <definedName name="ExternalData_1" localSheetId="2" hidden="1">DiscreteTimeStatsByRep!$A$1:$K$9</definedName>
    <definedName name="ExternalData_1" localSheetId="6" hidden="1">FrequencyStatsByRep!$A$1:$K$2</definedName>
    <definedName name="ExternalData_1" localSheetId="5" hidden="1">OutputStatsByRep!$A$1:$H$12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/>
  <c r="J11" i="20" a="1"/>
  <c r="J11" i="20" s="1"/>
  <c r="J12" i="20" a="1"/>
  <c r="J12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O3" i="20" a="1"/>
  <c r="O3" i="20"/>
  <c r="O4" i="20" a="1"/>
  <c r="O4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M2" i="18"/>
  <c r="P16" i="18" s="1" a="1"/>
  <c r="P16" i="18" s="1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Q2" i="18" a="1"/>
  <c r="Q2" i="18" s="1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S2" i="18" a="1"/>
  <c r="S2" i="18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L2" i="17"/>
  <c r="L3" i="17"/>
  <c r="L4" i="17"/>
  <c r="L5" i="17"/>
  <c r="L6" i="17"/>
  <c r="L7" i="17"/>
  <c r="L8" i="17"/>
  <c r="L9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N2" i="17" a="1"/>
  <c r="N2" i="17" s="1"/>
  <c r="N3" i="17" a="1"/>
  <c r="N3" i="17" s="1"/>
  <c r="N4" i="17" a="1"/>
  <c r="N4" i="17" s="1"/>
  <c r="N5" i="17" a="1"/>
  <c r="N5" i="17" s="1"/>
  <c r="N6" i="17" a="1"/>
  <c r="N6" i="17" s="1"/>
  <c r="N7" i="17" a="1"/>
  <c r="N7" i="17" s="1"/>
  <c r="N8" i="17" a="1"/>
  <c r="N8" i="17" s="1"/>
  <c r="N9" i="17" a="1"/>
  <c r="N9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8" i="17" a="1"/>
  <c r="O8" i="17" s="1"/>
  <c r="O9" i="17" a="1"/>
  <c r="O9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8" i="17" a="1"/>
  <c r="R8" i="17" s="1"/>
  <c r="S8" i="17" a="1"/>
  <c r="S8" i="17" s="1"/>
  <c r="S9" i="17" a="1"/>
  <c r="S9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8" i="17" a="1"/>
  <c r="T8" i="17" s="1"/>
  <c r="T9" i="17" a="1"/>
  <c r="T9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8" i="17" a="1"/>
  <c r="U8" i="17" s="1"/>
  <c r="U9" i="17" a="1"/>
  <c r="U9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8" i="17" a="1"/>
  <c r="V8" i="17" s="1"/>
  <c r="V9" i="17" a="1"/>
  <c r="V9" i="17" s="1"/>
  <c r="X2" i="17" a="1"/>
  <c r="X2" i="17" s="1"/>
  <c r="X3" i="17" a="1"/>
  <c r="X3" i="17" s="1"/>
  <c r="X4" i="17" a="1"/>
  <c r="X4" i="17" s="1"/>
  <c r="X5" i="17" a="1"/>
  <c r="X5" i="17" s="1"/>
  <c r="X6" i="17" a="1"/>
  <c r="X6" i="17" s="1"/>
  <c r="X7" i="17" a="1"/>
  <c r="X7" i="17" s="1"/>
  <c r="X8" i="17" a="1"/>
  <c r="X8" i="17" s="1"/>
  <c r="G2" i="16"/>
  <c r="O2" i="20" l="1" a="1"/>
  <c r="O2" i="20" s="1"/>
  <c r="N4" i="20"/>
  <c r="N12" i="20"/>
  <c r="N3" i="20"/>
  <c r="N5" i="20"/>
  <c r="N7" i="20"/>
  <c r="N8" i="20"/>
  <c r="N10" i="20"/>
  <c r="N11" i="20"/>
  <c r="N2" i="20"/>
  <c r="N6" i="20"/>
  <c r="N9" i="20"/>
  <c r="U2" i="18"/>
  <c r="R2" i="18"/>
  <c r="R3" i="18"/>
  <c r="U3" i="18"/>
  <c r="R4" i="18"/>
  <c r="U4" i="18"/>
  <c r="U5" i="18"/>
  <c r="R5" i="18"/>
  <c r="U6" i="18"/>
  <c r="R6" i="18"/>
  <c r="U7" i="18"/>
  <c r="R7" i="18"/>
  <c r="U8" i="18"/>
  <c r="R8" i="18"/>
  <c r="U9" i="18"/>
  <c r="R9" i="18"/>
  <c r="U10" i="18"/>
  <c r="R10" i="18"/>
  <c r="U11" i="18"/>
  <c r="R11" i="18"/>
  <c r="U12" i="18"/>
  <c r="R12" i="18"/>
  <c r="U13" i="18"/>
  <c r="R13" i="18"/>
  <c r="U14" i="18"/>
  <c r="R14" i="18"/>
  <c r="U15" i="18"/>
  <c r="R15" i="18"/>
  <c r="U16" i="18"/>
  <c r="R16" i="18"/>
  <c r="R9" i="17" a="1"/>
  <c r="R9" i="17" s="1"/>
  <c r="S2" i="17" a="1"/>
  <c r="S2" i="17" s="1"/>
  <c r="S6" i="17" a="1"/>
  <c r="S6" i="17" s="1"/>
  <c r="S5" i="17" a="1"/>
  <c r="S5" i="17" s="1"/>
  <c r="S7" i="17" a="1"/>
  <c r="S7" i="17" s="1"/>
  <c r="S3" i="17" a="1"/>
  <c r="S3" i="17" s="1"/>
  <c r="S4" i="17" a="1"/>
  <c r="S4" i="17" s="1"/>
  <c r="X9" i="17" a="1"/>
  <c r="X9" i="17" s="1"/>
  <c r="Y9" i="17" s="1"/>
  <c r="Q9" i="17" s="1"/>
  <c r="R7" i="17" a="1"/>
  <c r="R7" i="17" s="1"/>
  <c r="Y2" i="17"/>
  <c r="Q2" i="17" s="1"/>
  <c r="W2" i="17"/>
  <c r="Y3" i="17"/>
  <c r="Q3" i="17" s="1"/>
  <c r="W3" i="17"/>
  <c r="W4" i="17"/>
  <c r="Y4" i="17"/>
  <c r="Q4" i="17" s="1"/>
  <c r="Y5" i="17"/>
  <c r="Q5" i="17" s="1"/>
  <c r="W5" i="17"/>
  <c r="W6" i="17"/>
  <c r="Y6" i="17"/>
  <c r="Q6" i="17" s="1"/>
  <c r="Y7" i="17"/>
  <c r="Q7" i="17" s="1"/>
  <c r="W7" i="17"/>
  <c r="W8" i="17"/>
  <c r="Y8" i="17"/>
  <c r="Q8" i="17" s="1"/>
  <c r="W9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3\team04_uppgift3_1lab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3\team04_uppgift3_1lab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3\team04_uppgift3_1lab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3\team04_uppgift3_1lab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3\team04_uppgift3_1lab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3\team04_uppgift3_1lab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<sst xmlns="http://schemas.openxmlformats.org/spreadsheetml/2006/main" count="427" uniqueCount="109">
  <si>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</si>
  <si>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</si>
  <si>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</si>
  <si>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</si>
  <si>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</si>
  <si>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</si>
  <si>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</si>
  <si>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</si>
  <si>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</si>
  <si>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</si>
  <si>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</si>
  <si>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</si>
  <si>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</si>
  <si>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</si>
  <si>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</si>
  <si>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</si>
  <si>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</si>
  <si>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</si>
  <si>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</si>
  <si>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</si>
  <si>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</si>
  <si>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</si>
  <si>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</si>
  <si>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</si>
  <si>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</si>
  <si>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</si>
  <si>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</si>
  <si>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</si>
  <si>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</si>
  <si>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</si>
  <si>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</si>
  <si>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</si>
  <si>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</si>
  <si>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</si>
  <si>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</si>
  <si>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</si>
  <si>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</si>
  <si>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</si>
  <si>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</si>
  <si>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</si>
  <si>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</si>
  <si>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</si>
  <si>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</si>
  <si>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</si>
  <si>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</si>
  <si>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</si>
  <si>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</si>
  <si>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</si>
  <si>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</si>
  <si>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</si>
  <si>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</si>
  <si>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</si>
  <si>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</si>
  <si>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</si>
  <si>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</si>
  <si>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</si>
  <si>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</si>
  <si>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</si>
  <si>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</si>
  <si>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</si>
  <si>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</si>
  <si>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</si>
  <si>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</si>
  <si>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</si>
  <si>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</si>
  <si>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</si>
  <si>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</si>
  <si>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</si>
  <si>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Simulering\LAB3\team04_uppgift3_1laba.p</t>
  </si>
  <si>
    <t>2026-02-19 08:58:11</t>
  </si>
  <si>
    <t>Byggsats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</si>
  <si>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</si>
  <si>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</si>
  <si>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</si>
  <si>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</si>
  <si>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</si>
  <si>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</si>
  <si>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</si>
  <si>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Ny Montering.Queue</t>
  </si>
  <si>
    <t>Waiting Time</t>
  </si>
  <si>
    <t>Queue</t>
  </si>
  <si>
    <t>Reparation.Queue</t>
  </si>
  <si>
    <t>WIP</t>
  </si>
  <si>
    <t>Number Waiting</t>
  </si>
  <si>
    <t>Op1</t>
  </si>
  <si>
    <t>Instantaneous Utilization</t>
  </si>
  <si>
    <t>Resource</t>
  </si>
  <si>
    <t>Number Busy</t>
  </si>
  <si>
    <t>Number Scheduled</t>
  </si>
  <si>
    <t>Op2</t>
  </si>
  <si>
    <t>Op3</t>
  </si>
  <si>
    <t>Op4</t>
  </si>
  <si>
    <t>Byggsats.NumberIn</t>
  </si>
  <si>
    <t>Number In</t>
  </si>
  <si>
    <t>Byggsats.NumberOut</t>
  </si>
  <si>
    <t>Number Out</t>
  </si>
  <si>
    <t>Op1.NumberSeized</t>
  </si>
  <si>
    <t>Total Number Seized</t>
  </si>
  <si>
    <t>Op1.ScheduledUtilization</t>
  </si>
  <si>
    <t>Scheduled Utilization</t>
  </si>
  <si>
    <t>Op2.NumberSeized</t>
  </si>
  <si>
    <t>Op2.ScheduledUtilization</t>
  </si>
  <si>
    <t>Op3.NumberSeized</t>
  </si>
  <si>
    <t>Op3.ScheduledUtilization</t>
  </si>
  <si>
    <t>Op4.NumberSeized</t>
  </si>
  <si>
    <t>Op4.ScheduledUtilization</t>
  </si>
  <si>
    <t>System.NumberOut</t>
  </si>
  <si>
    <t>System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</si>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</sst>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2.38247997685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2.382480208333" createdVersion="7" refreshedVersion="8" minRefreshableVersion="3" recordCount="1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1">
        <s v="Byggsats"/>
        <s v="Ny Montering.Queue"/>
        <s v="Op1"/>
        <s v="Op2"/>
        <s v="Op3"/>
        <s v="Op4"/>
        <s v="Reparation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.175231931897982" maxValue="5.6949752076206996"/>
    </cacheField>
    <cacheField name="BatchMeansHalfWidth" numFmtId="0">
      <sharedItems containsSemiMixedTypes="0" containsString="0" containsNumber="1" minValue="1.0564278570357801E-2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2"/>
    </cacheField>
    <cacheField name="LastRecordedValue" numFmtId="0">
      <sharedItems containsSemiMixedTypes="0" containsString="0" containsNumber="1" containsInteger="1" minValue="0" maxValue="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175231931897982" maxValue="5.6949752076206996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175231931897982" maxValue="5.6949752076206996"/>
    </cacheField>
    <cacheField name="MaximumAverage" numFmtId="0">
      <sharedItems containsSemiMixedTypes="0" containsString="0" containsNumber="1" minValue="0.175231931897982" maxValue="5.6949752076206996"/>
    </cacheField>
    <cacheField name="SummaryHalfWidth" numFmtId="0">
      <sharedItems containsSemiMixedTypes="0" containsString="0" containsNumber="1" minValue="1.0564278570357801E-2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2.38248032407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2.382480671295" createdVersion="7" refreshedVersion="8" minRefreshableVersion="3" recordCount="8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Byggsats"/>
        <s v="Ny Montering.Queue"/>
        <s v="Reparation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2.164190484656899"/>
    </cacheField>
    <cacheField name="BatchMeansHalfWidth" numFmtId="0">
      <sharedItems containsSemiMixedTypes="0" containsString="0" containsNumber="1" minValue="0" maxValue="2E+20"/>
    </cacheField>
    <cacheField name="Minimum" numFmtId="0">
      <sharedItems containsSemiMixedTypes="0" containsString="0" containsNumber="1" minValue="0" maxValue="20.383103710732001"/>
    </cacheField>
    <cacheField name="Maximum" numFmtId="0">
      <sharedItems containsSemiMixedTypes="0" containsString="0" containsNumber="1" minValue="0" maxValue="160.48065188781399"/>
    </cacheField>
    <cacheField name="NumberObservations" numFmtId="0">
      <sharedItems containsSemiMixedTypes="0" containsString="0" containsNumber="1" containsInteger="1" minValue="259" maxValue="3544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2.1641904846568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2.164190484656899"/>
    </cacheField>
    <cacheField name="MaximumAverage" numFmtId="0">
      <sharedItems containsSemiMixedTypes="0" containsString="0" containsNumber="1" minValue="0" maxValue="32.164190484656899"/>
    </cacheField>
    <cacheField name="OverallMinimum" numFmtId="0">
      <sharedItems containsSemiMixedTypes="0" containsString="0" containsNumber="1" minValue="0" maxValue="20.383103710732001"/>
    </cacheField>
    <cacheField name="OverallMaximum" numFmtId="0">
      <sharedItems containsSemiMixedTypes="0" containsString="0" containsNumber="1" minValue="0" maxValue="160.48065188781399"/>
    </cacheField>
    <cacheField name="AverageNumberObservations" numFmtId="0">
      <sharedItems containsSemiMixedTypes="0" containsString="0" containsNumber="1" containsInteger="1" minValue="259" maxValue="3544"/>
    </cacheField>
    <cacheField name="SummaryHalfWidth" numFmtId="0">
      <sharedItems containsSemiMixedTypes="0" containsString="0" containsNumber="1" minValue="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2.382481018518" createdVersion="7" refreshedVersion="8" minRefreshableVersion="3" recordCount="1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Byggsats.NumberIn"/>
        <s v="Byggsats.NumberOut"/>
        <s v="Op1.NumberSeized"/>
        <s v="Op1.ScheduledUtilization"/>
        <s v="Op2.NumberSeized"/>
        <s v="Op2.ScheduledUtilization"/>
        <s v="Op3.NumberSeized"/>
        <s v="Op3.ScheduledUtilization"/>
        <s v="Op4.NumberSeized"/>
        <s v="Op4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90588248583243702" maxValue="354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0588248583243702" maxValue="3545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0588248583243702" maxValue="3545"/>
    </cacheField>
    <cacheField name="Maximum" numFmtId="0">
      <sharedItems containsSemiMixedTypes="0" containsString="0" containsNumber="1" minValue="0.90588248583243702" maxValue="35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2026-02-19 08:58:11"/>
    <n v="1"/>
    <x v="0"/>
    <x v="0"/>
    <x v="0"/>
    <n v="5.6949752076206996"/>
    <n v="0.24506689406965099"/>
    <n v="0"/>
    <n v="12"/>
    <n v="7"/>
    <n v="0"/>
    <s v="Unnamed ProjectByggsatsWIPEntity"/>
    <n v="1"/>
    <n v="5.6949752076206996"/>
    <n v="0"/>
    <n v="0.95"/>
    <n v="4E+20"/>
    <n v="5.6949752076206996"/>
    <n v="5.6949752076206996"/>
    <n v="0.24506689406965099"/>
  </r>
  <r>
    <x v="0"/>
    <s v="2026-02-19 08:58:11"/>
    <n v="1"/>
    <x v="1"/>
    <x v="1"/>
    <x v="1"/>
    <n v="0.76659223955298095"/>
    <n v="0.17396076180731501"/>
    <n v="0"/>
    <n v="6"/>
    <n v="0"/>
    <n v="0"/>
    <s v="Unnamed ProjectNy Montering.QueueNumber WaitingQueue"/>
    <n v="1"/>
    <n v="0.76659223955298095"/>
    <n v="0"/>
    <n v="0.95"/>
    <n v="4E+20"/>
    <n v="0.76659223955298095"/>
    <n v="0.76659223955298095"/>
    <n v="0.17396076180731501"/>
  </r>
  <r>
    <x v="0"/>
    <s v="2026-02-19 08:58:11"/>
    <n v="1"/>
    <x v="2"/>
    <x v="2"/>
    <x v="2"/>
    <n v="0.90588248583243702"/>
    <n v="1.6324479275060901E-2"/>
    <n v="0"/>
    <n v="1"/>
    <n v="1"/>
    <n v="0"/>
    <s v="Unnamed ProjectOp1Instantaneous UtilizationResource"/>
    <n v="1"/>
    <n v="0.90588248583243702"/>
    <n v="0"/>
    <n v="0.95"/>
    <n v="4E+20"/>
    <n v="0.90588248583243702"/>
    <n v="0.90588248583243702"/>
    <n v="1.6324479275060901E-2"/>
  </r>
  <r>
    <x v="0"/>
    <s v="2026-02-19 08:58:11"/>
    <n v="1"/>
    <x v="2"/>
    <x v="3"/>
    <x v="2"/>
    <n v="0.90588248583243702"/>
    <n v="1.6324479275060901E-2"/>
    <n v="0"/>
    <n v="1"/>
    <n v="1"/>
    <n v="0"/>
    <s v="Unnamed ProjectOp1Number BusyResource"/>
    <n v="1"/>
    <n v="0.90588248583243702"/>
    <n v="0"/>
    <n v="0.95"/>
    <n v="4E+20"/>
    <n v="0.90588248583243702"/>
    <n v="0.90588248583243702"/>
    <n v="1.6324479275060901E-2"/>
  </r>
  <r>
    <x v="0"/>
    <s v="2026-02-19 08:58:11"/>
    <n v="1"/>
    <x v="2"/>
    <x v="4"/>
    <x v="2"/>
    <n v="1"/>
    <n v="2E+20"/>
    <n v="1"/>
    <n v="1"/>
    <n v="1"/>
    <n v="0"/>
    <s v="Unnamed ProjectOp1Number ScheduledResource"/>
    <n v="1"/>
    <n v="1"/>
    <n v="0"/>
    <n v="0.95"/>
    <n v="4E+20"/>
    <n v="1"/>
    <n v="1"/>
    <n v="2E+20"/>
  </r>
  <r>
    <x v="0"/>
    <s v="2026-02-19 08:58:11"/>
    <n v="1"/>
    <x v="3"/>
    <x v="2"/>
    <x v="2"/>
    <n v="0.92416002879321502"/>
    <n v="1.4059464785362999E-2"/>
    <n v="0"/>
    <n v="1"/>
    <n v="1"/>
    <n v="0"/>
    <s v="Unnamed ProjectOp2Instantaneous UtilizationResource"/>
    <n v="1"/>
    <n v="0.92416002879321502"/>
    <n v="0"/>
    <n v="0.95"/>
    <n v="4E+20"/>
    <n v="0.92416002879321502"/>
    <n v="0.92416002879321502"/>
    <n v="1.4059464785362999E-2"/>
  </r>
  <r>
    <x v="0"/>
    <s v="2026-02-19 08:58:11"/>
    <n v="1"/>
    <x v="3"/>
    <x v="3"/>
    <x v="2"/>
    <n v="0.92416002879321502"/>
    <n v="1.4059464785362999E-2"/>
    <n v="0"/>
    <n v="1"/>
    <n v="1"/>
    <n v="0"/>
    <s v="Unnamed ProjectOp2Number BusyResource"/>
    <n v="1"/>
    <n v="0.92416002879321502"/>
    <n v="0"/>
    <n v="0.95"/>
    <n v="4E+20"/>
    <n v="0.92416002879321502"/>
    <n v="0.92416002879321502"/>
    <n v="1.4059464785362999E-2"/>
  </r>
  <r>
    <x v="0"/>
    <s v="2026-02-19 08:58:11"/>
    <n v="1"/>
    <x v="3"/>
    <x v="4"/>
    <x v="2"/>
    <n v="1"/>
    <n v="2E+20"/>
    <n v="1"/>
    <n v="1"/>
    <n v="1"/>
    <n v="0"/>
    <s v="Unnamed ProjectOp2Number ScheduledResource"/>
    <n v="1"/>
    <n v="1"/>
    <n v="0"/>
    <n v="0.95"/>
    <n v="4E+20"/>
    <n v="1"/>
    <n v="1"/>
    <n v="2E+20"/>
  </r>
  <r>
    <x v="0"/>
    <s v="2026-02-19 08:58:11"/>
    <n v="1"/>
    <x v="4"/>
    <x v="2"/>
    <x v="2"/>
    <n v="0.93910316400442195"/>
    <n v="1.0564278570357801E-2"/>
    <n v="0"/>
    <n v="1"/>
    <n v="1"/>
    <n v="0"/>
    <s v="Unnamed ProjectOp3Instantaneous UtilizationResource"/>
    <n v="1"/>
    <n v="0.93910316400442195"/>
    <n v="0"/>
    <n v="0.95"/>
    <n v="4E+20"/>
    <n v="0.93910316400442195"/>
    <n v="0.93910316400442195"/>
    <n v="1.0564278570357801E-2"/>
  </r>
  <r>
    <x v="0"/>
    <s v="2026-02-19 08:58:11"/>
    <n v="1"/>
    <x v="4"/>
    <x v="3"/>
    <x v="2"/>
    <n v="0.93910316400442195"/>
    <n v="1.0564278570357801E-2"/>
    <n v="0"/>
    <n v="1"/>
    <n v="1"/>
    <n v="0"/>
    <s v="Unnamed ProjectOp3Number BusyResource"/>
    <n v="1"/>
    <n v="0.93910316400442195"/>
    <n v="0"/>
    <n v="0.95"/>
    <n v="4E+20"/>
    <n v="0.93910316400442195"/>
    <n v="0.93910316400442195"/>
    <n v="1.0564278570357801E-2"/>
  </r>
  <r>
    <x v="0"/>
    <s v="2026-02-19 08:58:11"/>
    <n v="1"/>
    <x v="4"/>
    <x v="4"/>
    <x v="2"/>
    <n v="1"/>
    <n v="2E+20"/>
    <n v="1"/>
    <n v="1"/>
    <n v="1"/>
    <n v="0"/>
    <s v="Unnamed ProjectOp3Number ScheduledResource"/>
    <n v="1"/>
    <n v="1"/>
    <n v="0"/>
    <n v="0.95"/>
    <n v="4E+20"/>
    <n v="1"/>
    <n v="1"/>
    <n v="2E+20"/>
  </r>
  <r>
    <x v="0"/>
    <s v="2026-02-19 08:58:11"/>
    <n v="1"/>
    <x v="5"/>
    <x v="2"/>
    <x v="2"/>
    <n v="0.93486115211151"/>
    <n v="1.16338730221802E-2"/>
    <n v="0"/>
    <n v="1"/>
    <n v="1"/>
    <n v="0"/>
    <s v="Unnamed ProjectOp4Instantaneous UtilizationResource"/>
    <n v="1"/>
    <n v="0.93486115211151"/>
    <n v="0"/>
    <n v="0.95"/>
    <n v="4E+20"/>
    <n v="0.93486115211151"/>
    <n v="0.93486115211151"/>
    <n v="1.16338730221802E-2"/>
  </r>
  <r>
    <x v="0"/>
    <s v="2026-02-19 08:58:11"/>
    <n v="1"/>
    <x v="5"/>
    <x v="3"/>
    <x v="2"/>
    <n v="0.93486115211151"/>
    <n v="1.16338730221802E-2"/>
    <n v="0"/>
    <n v="1"/>
    <n v="1"/>
    <n v="0"/>
    <s v="Unnamed ProjectOp4Number BusyResource"/>
    <n v="1"/>
    <n v="0.93486115211151"/>
    <n v="0"/>
    <n v="0.95"/>
    <n v="4E+20"/>
    <n v="0.93486115211151"/>
    <n v="0.93486115211151"/>
    <n v="1.16338730221802E-2"/>
  </r>
  <r>
    <x v="0"/>
    <s v="2026-02-19 08:58:11"/>
    <n v="1"/>
    <x v="5"/>
    <x v="4"/>
    <x v="2"/>
    <n v="1"/>
    <n v="2E+20"/>
    <n v="1"/>
    <n v="1"/>
    <n v="1"/>
    <n v="0"/>
    <s v="Unnamed ProjectOp4Number ScheduledResource"/>
    <n v="1"/>
    <n v="1"/>
    <n v="0"/>
    <n v="0.95"/>
    <n v="4E+20"/>
    <n v="1"/>
    <n v="1"/>
    <n v="2E+20"/>
  </r>
  <r>
    <x v="0"/>
    <s v="2026-02-19 08:58:11"/>
    <n v="1"/>
    <x v="6"/>
    <x v="1"/>
    <x v="1"/>
    <n v="0.175231931897982"/>
    <n v="2.2533953600493799E-2"/>
    <n v="0"/>
    <n v="3"/>
    <n v="1"/>
    <n v="0"/>
    <s v="Unnamed ProjectReparation.QueueNumber WaitingQueue"/>
    <n v="1"/>
    <n v="0.175231931897982"/>
    <n v="0"/>
    <n v="0.95"/>
    <n v="4E+20"/>
    <n v="0.175231931897982"/>
    <n v="0.175231931897982"/>
    <n v="2.2533953600493799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2026-02-19 08:58:11"/>
    <n v="1"/>
    <x v="0"/>
    <x v="0"/>
    <x v="0"/>
    <n v="0"/>
    <n v="0"/>
    <n v="0"/>
    <n v="0"/>
    <n v="3538"/>
    <s v="Unnamed ProjectByggsatsNVA TimeEntity"/>
    <n v="1"/>
    <n v="0"/>
    <n v="0"/>
    <n v="0.95"/>
    <n v="4E+20"/>
    <n v="0"/>
    <n v="0"/>
    <n v="0"/>
    <n v="0"/>
    <n v="3538"/>
    <n v="0"/>
    <n v="1"/>
    <n v="1"/>
  </r>
  <r>
    <x v="0"/>
    <s v="2026-02-19 08:58:11"/>
    <n v="1"/>
    <x v="0"/>
    <x v="1"/>
    <x v="0"/>
    <n v="0"/>
    <n v="0"/>
    <n v="0"/>
    <n v="0"/>
    <n v="3538"/>
    <s v="Unnamed ProjectByggsatsOther TimeEntity"/>
    <n v="1"/>
    <n v="0"/>
    <n v="0"/>
    <n v="0.95"/>
    <n v="4E+20"/>
    <n v="0"/>
    <n v="0"/>
    <n v="0"/>
    <n v="0"/>
    <n v="3538"/>
    <n v="0"/>
    <n v="1"/>
    <n v="1"/>
  </r>
  <r>
    <x v="0"/>
    <s v="2026-02-19 08:58:11"/>
    <n v="1"/>
    <x v="0"/>
    <x v="2"/>
    <x v="0"/>
    <n v="32.164190484656899"/>
    <n v="1.3238016568572399"/>
    <n v="20.383103710732001"/>
    <n v="160.48065188781399"/>
    <n v="3538"/>
    <s v="Unnamed ProjectByggsatsTotal TimeEntity"/>
    <n v="1"/>
    <n v="32.164190484656899"/>
    <n v="0"/>
    <n v="0.95"/>
    <n v="4E+20"/>
    <n v="32.164190484656899"/>
    <n v="32.164190484656899"/>
    <n v="20.383103710732001"/>
    <n v="160.48065188781399"/>
    <n v="3538"/>
    <n v="1.3238016568572399"/>
    <n v="1"/>
    <n v="1"/>
  </r>
  <r>
    <x v="0"/>
    <s v="2026-02-19 08:58:11"/>
    <n v="1"/>
    <x v="0"/>
    <x v="3"/>
    <x v="0"/>
    <n v="1.6128960655194999"/>
    <n v="1.4320572697419201E-2"/>
    <n v="1.01293213844838"/>
    <n v="5.7847335046371899"/>
    <n v="3538"/>
    <s v="Unnamed ProjectByggsatsTransfer TimeEntity"/>
    <n v="1"/>
    <n v="1.6128960655194999"/>
    <n v="0"/>
    <n v="0.95"/>
    <n v="4E+20"/>
    <n v="1.6128960655194999"/>
    <n v="1.6128960655194999"/>
    <n v="1.01293213844838"/>
    <n v="5.7847335046371899"/>
    <n v="3538"/>
    <n v="1.4320572697419201E-2"/>
    <n v="1"/>
    <n v="1"/>
  </r>
  <r>
    <x v="0"/>
    <s v="2026-02-19 08:58:11"/>
    <n v="1"/>
    <x v="0"/>
    <x v="4"/>
    <x v="0"/>
    <n v="25.231685291343201"/>
    <n v="0.28551889742242098"/>
    <n v="18.512549188928499"/>
    <n v="109.951818393696"/>
    <n v="3538"/>
    <s v="Unnamed ProjectByggsatsVA TimeEntity"/>
    <n v="1"/>
    <n v="25.231685291343201"/>
    <n v="0"/>
    <n v="0.95"/>
    <n v="4E+20"/>
    <n v="25.231685291343201"/>
    <n v="25.231685291343201"/>
    <n v="18.512549188928499"/>
    <n v="109.951818393696"/>
    <n v="3538"/>
    <n v="0.28551889742242098"/>
    <n v="1"/>
    <n v="1"/>
  </r>
  <r>
    <x v="0"/>
    <s v="2026-02-19 08:58:11"/>
    <n v="1"/>
    <x v="0"/>
    <x v="5"/>
    <x v="0"/>
    <n v="5.31960912779416"/>
    <n v="1.0751094545150199"/>
    <n v="0"/>
    <n v="55.413123199874498"/>
    <n v="3538"/>
    <s v="Unnamed ProjectByggsatsWait TimeEntity"/>
    <n v="1"/>
    <n v="5.31960912779416"/>
    <n v="0"/>
    <n v="0.95"/>
    <n v="4E+20"/>
    <n v="5.31960912779416"/>
    <n v="5.31960912779416"/>
    <n v="0"/>
    <n v="55.413123199874498"/>
    <n v="3538"/>
    <n v="1.0751094545150199"/>
    <n v="1"/>
    <n v="1"/>
  </r>
  <r>
    <x v="0"/>
    <s v="2026-02-19 08:58:11"/>
    <n v="1"/>
    <x v="1"/>
    <x v="6"/>
    <x v="1"/>
    <n v="4.3261413067323797"/>
    <n v="0.98149520165625903"/>
    <n v="0"/>
    <n v="34.298285192941002"/>
    <n v="3544"/>
    <s v="Unnamed ProjectNy Montering.QueueWaiting TimeQueue"/>
    <n v="1"/>
    <n v="4.3261413067323797"/>
    <n v="0"/>
    <n v="0.95"/>
    <n v="4E+20"/>
    <n v="4.3261413067323797"/>
    <n v="4.3261413067323797"/>
    <n v="0"/>
    <n v="34.298285192941002"/>
    <n v="3544"/>
    <n v="0.98149520165625903"/>
    <n v="1"/>
    <n v="1"/>
  </r>
  <r>
    <x v="0"/>
    <s v="2026-02-19 08:58:11"/>
    <n v="1"/>
    <x v="2"/>
    <x v="6"/>
    <x v="1"/>
    <n v="13.501357948655899"/>
    <n v="2E+20"/>
    <n v="0"/>
    <n v="22.2088086166168"/>
    <n v="259"/>
    <s v="Unnamed ProjectReparation.QueueWaiting TimeQueue"/>
    <n v="1"/>
    <n v="13.501357948655899"/>
    <n v="0"/>
    <n v="0.95"/>
    <n v="4E+20"/>
    <n v="13.501357948655899"/>
    <n v="13.501357948655899"/>
    <n v="0"/>
    <n v="22.2088086166168"/>
    <n v="259"/>
    <n v="2E+20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6-02-19 08:58:11"/>
    <n v="1"/>
    <x v="0"/>
    <x v="0"/>
    <x v="0"/>
    <n v="3545"/>
    <n v="0"/>
    <s v="Unnamed ProjectByggsats.NumberInNumber InEntity"/>
    <n v="1"/>
    <n v="3545"/>
    <n v="0"/>
    <n v="0.95"/>
    <n v="4E+20"/>
    <n v="3545"/>
    <n v="3545"/>
  </r>
  <r>
    <x v="0"/>
    <s v="2026-02-19 08:58:11"/>
    <n v="1"/>
    <x v="1"/>
    <x v="1"/>
    <x v="0"/>
    <n v="3538"/>
    <n v="0"/>
    <s v="Unnamed ProjectByggsats.NumberOutNumber OutEntity"/>
    <n v="1"/>
    <n v="3538"/>
    <n v="0"/>
    <n v="0.95"/>
    <n v="4E+20"/>
    <n v="3538"/>
    <n v="3538"/>
  </r>
  <r>
    <x v="0"/>
    <s v="2026-02-19 08:58:11"/>
    <n v="1"/>
    <x v="2"/>
    <x v="2"/>
    <x v="1"/>
    <n v="1007"/>
    <n v="0"/>
    <s v="Unnamed ProjectOp1.NumberSeizedTotal Number SeizedResource"/>
    <n v="1"/>
    <n v="1007"/>
    <n v="0"/>
    <n v="0.95"/>
    <n v="4E+20"/>
    <n v="1007"/>
    <n v="1007"/>
  </r>
  <r>
    <x v="0"/>
    <s v="2026-02-19 08:58:11"/>
    <n v="1"/>
    <x v="3"/>
    <x v="3"/>
    <x v="1"/>
    <n v="0.90588248583243702"/>
    <n v="0"/>
    <s v="Unnamed ProjectOp1.ScheduledUtilizationScheduled UtilizationResource"/>
    <n v="1"/>
    <n v="0.90588248583243702"/>
    <n v="0"/>
    <n v="0.95"/>
    <n v="4E+20"/>
    <n v="0.90588248583243702"/>
    <n v="0.90588248583243702"/>
  </r>
  <r>
    <x v="0"/>
    <s v="2026-02-19 08:58:11"/>
    <n v="1"/>
    <x v="4"/>
    <x v="2"/>
    <x v="1"/>
    <n v="953"/>
    <n v="0"/>
    <s v="Unnamed ProjectOp2.NumberSeizedTotal Number SeizedResource"/>
    <n v="1"/>
    <n v="953"/>
    <n v="0"/>
    <n v="0.95"/>
    <n v="4E+20"/>
    <n v="953"/>
    <n v="953"/>
  </r>
  <r>
    <x v="0"/>
    <s v="2026-02-19 08:58:11"/>
    <n v="1"/>
    <x v="5"/>
    <x v="3"/>
    <x v="1"/>
    <n v="0.92416002879321502"/>
    <n v="0"/>
    <s v="Unnamed ProjectOp2.ScheduledUtilizationScheduled UtilizationResource"/>
    <n v="1"/>
    <n v="0.92416002879321502"/>
    <n v="0"/>
    <n v="0.95"/>
    <n v="4E+20"/>
    <n v="0.92416002879321502"/>
    <n v="0.92416002879321502"/>
  </r>
  <r>
    <x v="0"/>
    <s v="2026-02-19 08:58:11"/>
    <n v="1"/>
    <x v="6"/>
    <x v="2"/>
    <x v="1"/>
    <n v="926"/>
    <n v="0"/>
    <s v="Unnamed ProjectOp3.NumberSeizedTotal Number SeizedResource"/>
    <n v="1"/>
    <n v="926"/>
    <n v="0"/>
    <n v="0.95"/>
    <n v="4E+20"/>
    <n v="926"/>
    <n v="926"/>
  </r>
  <r>
    <x v="0"/>
    <s v="2026-02-19 08:58:11"/>
    <n v="1"/>
    <x v="7"/>
    <x v="3"/>
    <x v="1"/>
    <n v="0.93910316400442195"/>
    <n v="0"/>
    <s v="Unnamed ProjectOp3.ScheduledUtilizationScheduled UtilizationResource"/>
    <n v="1"/>
    <n v="0.93910316400442195"/>
    <n v="0"/>
    <n v="0.95"/>
    <n v="4E+20"/>
    <n v="0.93910316400442195"/>
    <n v="0.93910316400442195"/>
  </r>
  <r>
    <x v="0"/>
    <s v="2026-02-19 08:58:11"/>
    <n v="1"/>
    <x v="8"/>
    <x v="2"/>
    <x v="1"/>
    <n v="917"/>
    <n v="0"/>
    <s v="Unnamed ProjectOp4.NumberSeizedTotal Number SeizedResource"/>
    <n v="1"/>
    <n v="917"/>
    <n v="0"/>
    <n v="0.95"/>
    <n v="4E+20"/>
    <n v="917"/>
    <n v="917"/>
  </r>
  <r>
    <x v="0"/>
    <s v="2026-02-19 08:58:11"/>
    <n v="1"/>
    <x v="9"/>
    <x v="3"/>
    <x v="1"/>
    <n v="0.93486115211151"/>
    <n v="0"/>
    <s v="Unnamed ProjectOp4.ScheduledUtilizationScheduled UtilizationResource"/>
    <n v="1"/>
    <n v="0.93486115211151"/>
    <n v="0"/>
    <n v="0.95"/>
    <n v="4E+20"/>
    <n v="0.93486115211151"/>
    <n v="0.93486115211151"/>
  </r>
  <r>
    <x v="0"/>
    <s v="2026-02-19 08:58:11"/>
    <n v="1"/>
    <x v="10"/>
    <x v="1"/>
    <x v="2"/>
    <n v="3538"/>
    <n v="0"/>
    <s v="Unnamed ProjectSystem.NumberOutNumber OutSystem"/>
    <n v="1"/>
    <n v="3538"/>
    <n v="0"/>
    <n v="0.95"/>
    <n v="4E+20"/>
    <n v="3538"/>
    <n v="35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5">
    <i>
      <x v="3"/>
      <x v="124"/>
      <x v="4"/>
      <x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/>
      <x v="2"/>
    </i>
    <i r="2">
      <x v="1"/>
      <x v="2"/>
    </i>
    <i r="2">
      <x v="2"/>
      <x v="2"/>
    </i>
    <i r="1">
      <x v="129"/>
      <x/>
      <x v="2"/>
    </i>
    <i r="2">
      <x v="1"/>
      <x v="2"/>
    </i>
    <i r="2">
      <x v="2"/>
      <x v="2"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0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8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  <i r="1">
      <x v="101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10"/>
        <item m="1" x="70"/>
        <item m="1" x="57"/>
        <item m="1" x="74"/>
        <item m="1" x="59"/>
        <item m="1" x="75"/>
        <item m="1" x="82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5"/>
        <item m="1" x="25"/>
        <item m="1" x="88"/>
        <item m="1" x="53"/>
        <item m="1" x="20"/>
        <item m="1" x="83"/>
        <item m="1" x="78"/>
        <item m="1" x="54"/>
        <item m="1" x="21"/>
        <item m="1" x="84"/>
        <item m="1" x="79"/>
        <item m="1" x="16"/>
        <item m="1" x="50"/>
        <item m="1" x="34"/>
        <item m="1" x="24"/>
        <item m="1" x="76"/>
        <item m="1" x="46"/>
        <item m="1" x="77"/>
        <item m="1" x="47"/>
        <item m="1" x="33"/>
        <item m="1" x="28"/>
        <item m="1" x="55"/>
        <item m="1" x="30"/>
        <item m="1" x="87"/>
        <item m="1" x="80"/>
        <item m="1" x="29"/>
        <item m="1" x="27"/>
        <item m="1" x="72"/>
        <item m="1" x="81"/>
        <item m="1" x="17"/>
        <item m="1" x="35"/>
        <item m="1" x="48"/>
        <item m="1" x="69"/>
        <item m="1" x="86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9" tableType="queryTable" totalsRowShown="0">
  <autoFilter ref="A1:Y9" xr:uid="{C3D003CA-1AFF-426C-A03D-D3AF5760DF1A}"/>
  <sortState xmlns:xlrd2="http://schemas.microsoft.com/office/spreadsheetml/2017/richdata2" ref="A2:Y9">
    <sortCondition ref="D1:D9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6" tableType="queryTable" totalsRowShown="0">
  <autoFilter ref="A1:U1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" tableType="queryTable" totalsRowShown="0">
  <autoFilter ref="A1:P1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topLeftCell="A2" zoomScale="64"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79.08984375" bestFit="1" customWidth="1"/>
    <col min="3" max="3" width="17.81640625" bestFit="1" customWidth="1"/>
    <col min="4" max="4" width="12.90625" bestFit="1" customWidth="1"/>
    <col min="5" max="5" width="23.6328125" bestFit="1" customWidth="1"/>
    <col min="6" max="6" width="25.54296875" bestFit="1" customWidth="1"/>
    <col min="7" max="7" width="20.7265625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</v>
      </c>
      <c r="F2">
        <v>20000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7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3538</v>
      </c>
      <c r="O3" t="s">
        <v>66</v>
      </c>
      <c r="P3" t="s">
        <v>70</v>
      </c>
      <c r="Q3" t="s">
        <v>82</v>
      </c>
      <c r="R3" t="s">
        <v>72</v>
      </c>
      <c r="S3" s="5">
        <v>5.6949752076206996</v>
      </c>
      <c r="T3" s="5">
        <v>0.24506689406965099</v>
      </c>
      <c r="U3" s="5">
        <v>0</v>
      </c>
      <c r="V3" s="5">
        <v>5.6949752076206996</v>
      </c>
      <c r="W3" s="5">
        <v>5.6949752076206996</v>
      </c>
      <c r="X3" s="5">
        <v>0</v>
      </c>
      <c r="Y3" s="5">
        <v>12</v>
      </c>
      <c r="AA3" t="s">
        <v>108</v>
      </c>
      <c r="AB3" t="s">
        <v>108</v>
      </c>
      <c r="AC3" t="s">
        <v>108</v>
      </c>
      <c r="AD3" t="s">
        <v>108</v>
      </c>
      <c r="AE3" s="5"/>
      <c r="AF3" s="5"/>
      <c r="AG3" s="5"/>
      <c r="AH3" s="5"/>
      <c r="AI3" s="5"/>
      <c r="AK3" t="s">
        <v>66</v>
      </c>
      <c r="AL3" t="s">
        <v>106</v>
      </c>
      <c r="AM3" t="s">
        <v>95</v>
      </c>
      <c r="AN3" t="s">
        <v>107</v>
      </c>
      <c r="AO3" s="5">
        <v>3538</v>
      </c>
      <c r="AP3" s="5">
        <v>4E+20</v>
      </c>
      <c r="AQ3" s="5">
        <v>0</v>
      </c>
      <c r="AR3" s="5">
        <v>3538</v>
      </c>
      <c r="AS3" s="5">
        <v>3538</v>
      </c>
      <c r="AU3" t="s">
        <v>108</v>
      </c>
      <c r="AV3" t="s">
        <v>108</v>
      </c>
      <c r="AW3" t="s">
        <v>108</v>
      </c>
      <c r="AX3" t="s">
        <v>108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3538</v>
      </c>
      <c r="P4" t="s">
        <v>78</v>
      </c>
      <c r="Q4" t="s">
        <v>83</v>
      </c>
      <c r="R4" t="s">
        <v>80</v>
      </c>
      <c r="S4" s="5">
        <v>0.76659223955298095</v>
      </c>
      <c r="T4" s="5">
        <v>0.17396076180731501</v>
      </c>
      <c r="U4" s="5">
        <v>0</v>
      </c>
      <c r="V4" s="5">
        <v>0.76659223955298095</v>
      </c>
      <c r="W4" s="5">
        <v>0.76659223955298095</v>
      </c>
      <c r="X4" s="5">
        <v>0</v>
      </c>
      <c r="Y4" s="5">
        <v>6</v>
      </c>
      <c r="AL4" t="s">
        <v>92</v>
      </c>
      <c r="AM4" t="s">
        <v>93</v>
      </c>
      <c r="AN4" t="s">
        <v>72</v>
      </c>
      <c r="AO4" s="5">
        <v>3545</v>
      </c>
      <c r="AP4" s="5">
        <v>4E+20</v>
      </c>
      <c r="AQ4" s="5">
        <v>0</v>
      </c>
      <c r="AR4" s="5">
        <v>3545</v>
      </c>
      <c r="AS4" s="5">
        <v>3545</v>
      </c>
    </row>
    <row r="5" spans="1:52" x14ac:dyDescent="0.35">
      <c r="C5" t="s">
        <v>74</v>
      </c>
      <c r="D5" t="s">
        <v>72</v>
      </c>
      <c r="E5" s="5">
        <v>32.164190484656899</v>
      </c>
      <c r="F5" s="5">
        <v>1</v>
      </c>
      <c r="G5" s="5">
        <v>1.3238016568572399</v>
      </c>
      <c r="H5" s="5">
        <v>0</v>
      </c>
      <c r="I5" s="5">
        <v>32.164190484656899</v>
      </c>
      <c r="J5" s="5">
        <v>32.164190484656899</v>
      </c>
      <c r="K5" s="5">
        <v>20.383103710732001</v>
      </c>
      <c r="L5" s="5">
        <v>160.48065188781399</v>
      </c>
      <c r="M5" s="5">
        <v>3538</v>
      </c>
      <c r="P5" t="s">
        <v>84</v>
      </c>
      <c r="Q5" t="s">
        <v>85</v>
      </c>
      <c r="R5" t="s">
        <v>86</v>
      </c>
      <c r="S5" s="5">
        <v>0.90588248583243702</v>
      </c>
      <c r="T5" s="5">
        <v>1.6324479275060901E-2</v>
      </c>
      <c r="U5" s="5">
        <v>0</v>
      </c>
      <c r="V5" s="5">
        <v>0.90588248583243702</v>
      </c>
      <c r="W5" s="5">
        <v>0.90588248583243702</v>
      </c>
      <c r="X5" s="5">
        <v>0</v>
      </c>
      <c r="Y5" s="5">
        <v>1</v>
      </c>
      <c r="AL5" t="s">
        <v>94</v>
      </c>
      <c r="AM5" t="s">
        <v>95</v>
      </c>
      <c r="AN5" t="s">
        <v>72</v>
      </c>
      <c r="AO5" s="5">
        <v>3538</v>
      </c>
      <c r="AP5" s="5">
        <v>4E+20</v>
      </c>
      <c r="AQ5" s="5">
        <v>0</v>
      </c>
      <c r="AR5" s="5">
        <v>3538</v>
      </c>
      <c r="AS5" s="5">
        <v>3538</v>
      </c>
    </row>
    <row r="6" spans="1:52" x14ac:dyDescent="0.35">
      <c r="C6" t="s">
        <v>75</v>
      </c>
      <c r="D6" t="s">
        <v>72</v>
      </c>
      <c r="E6" s="5">
        <v>1.6128960655194999</v>
      </c>
      <c r="F6" s="5">
        <v>1</v>
      </c>
      <c r="G6" s="5">
        <v>1.4320572697419201E-2</v>
      </c>
      <c r="H6" s="5">
        <v>0</v>
      </c>
      <c r="I6" s="5">
        <v>1.6128960655194999</v>
      </c>
      <c r="J6" s="5">
        <v>1.6128960655194999</v>
      </c>
      <c r="K6" s="5">
        <v>1.01293213844838</v>
      </c>
      <c r="L6" s="5">
        <v>5.7847335046371899</v>
      </c>
      <c r="M6" s="5">
        <v>3538</v>
      </c>
      <c r="Q6" t="s">
        <v>87</v>
      </c>
      <c r="R6" t="s">
        <v>86</v>
      </c>
      <c r="S6" s="5">
        <v>0.90588248583243702</v>
      </c>
      <c r="T6" s="5">
        <v>1.6324479275060901E-2</v>
      </c>
      <c r="U6" s="5">
        <v>0</v>
      </c>
      <c r="V6" s="5">
        <v>0.90588248583243702</v>
      </c>
      <c r="W6" s="5">
        <v>0.90588248583243702</v>
      </c>
      <c r="X6" s="5">
        <v>0</v>
      </c>
      <c r="Y6" s="5">
        <v>1</v>
      </c>
      <c r="AL6" t="s">
        <v>96</v>
      </c>
      <c r="AM6" t="s">
        <v>97</v>
      </c>
      <c r="AN6" t="s">
        <v>86</v>
      </c>
      <c r="AO6" s="5">
        <v>1007</v>
      </c>
      <c r="AP6" s="5">
        <v>4E+20</v>
      </c>
      <c r="AQ6" s="5">
        <v>0</v>
      </c>
      <c r="AR6" s="5">
        <v>1007</v>
      </c>
      <c r="AS6" s="5">
        <v>1007</v>
      </c>
    </row>
    <row r="7" spans="1:52" x14ac:dyDescent="0.35">
      <c r="C7" t="s">
        <v>76</v>
      </c>
      <c r="D7" t="s">
        <v>72</v>
      </c>
      <c r="E7" s="5">
        <v>25.231685291343201</v>
      </c>
      <c r="F7" s="5">
        <v>1</v>
      </c>
      <c r="G7" s="5">
        <v>0.28551889742242098</v>
      </c>
      <c r="H7" s="5">
        <v>0</v>
      </c>
      <c r="I7" s="5">
        <v>25.231685291343201</v>
      </c>
      <c r="J7" s="5">
        <v>25.231685291343201</v>
      </c>
      <c r="K7" s="5">
        <v>18.512549188928499</v>
      </c>
      <c r="L7" s="5">
        <v>109.951818393696</v>
      </c>
      <c r="M7" s="5">
        <v>3538</v>
      </c>
      <c r="Q7" t="s">
        <v>88</v>
      </c>
      <c r="R7" t="s">
        <v>86</v>
      </c>
      <c r="S7" s="5">
        <v>1</v>
      </c>
      <c r="T7" s="5">
        <v>2E+20</v>
      </c>
      <c r="U7" s="5">
        <v>0</v>
      </c>
      <c r="V7" s="5">
        <v>1</v>
      </c>
      <c r="W7" s="5">
        <v>1</v>
      </c>
      <c r="X7" s="5">
        <v>1</v>
      </c>
      <c r="Y7" s="5">
        <v>1</v>
      </c>
      <c r="AL7" t="s">
        <v>98</v>
      </c>
      <c r="AM7" t="s">
        <v>99</v>
      </c>
      <c r="AN7" t="s">
        <v>86</v>
      </c>
      <c r="AO7" s="5">
        <v>0.90588248583243702</v>
      </c>
      <c r="AP7" s="5">
        <v>4E+20</v>
      </c>
      <c r="AQ7" s="5">
        <v>0</v>
      </c>
      <c r="AR7" s="5">
        <v>0.90588248583243702</v>
      </c>
      <c r="AS7" s="5">
        <v>0.90588248583243702</v>
      </c>
    </row>
    <row r="8" spans="1:52" x14ac:dyDescent="0.35">
      <c r="C8" t="s">
        <v>77</v>
      </c>
      <c r="D8" t="s">
        <v>72</v>
      </c>
      <c r="E8" s="5">
        <v>5.31960912779416</v>
      </c>
      <c r="F8" s="5">
        <v>1</v>
      </c>
      <c r="G8" s="5">
        <v>1.0751094545150199</v>
      </c>
      <c r="H8" s="5">
        <v>0</v>
      </c>
      <c r="I8" s="5">
        <v>5.31960912779416</v>
      </c>
      <c r="J8" s="5">
        <v>5.31960912779416</v>
      </c>
      <c r="K8" s="5">
        <v>0</v>
      </c>
      <c r="L8" s="5">
        <v>55.413123199874498</v>
      </c>
      <c r="M8" s="5">
        <v>3538</v>
      </c>
      <c r="P8" t="s">
        <v>89</v>
      </c>
      <c r="Q8" t="s">
        <v>85</v>
      </c>
      <c r="R8" t="s">
        <v>86</v>
      </c>
      <c r="S8" s="5">
        <v>0.92416002879321502</v>
      </c>
      <c r="T8" s="5">
        <v>1.4059464785362999E-2</v>
      </c>
      <c r="U8" s="5">
        <v>0</v>
      </c>
      <c r="V8" s="5">
        <v>0.92416002879321502</v>
      </c>
      <c r="W8" s="5">
        <v>0.92416002879321502</v>
      </c>
      <c r="X8" s="5">
        <v>0</v>
      </c>
      <c r="Y8" s="5">
        <v>1</v>
      </c>
      <c r="AL8" t="s">
        <v>100</v>
      </c>
      <c r="AM8" t="s">
        <v>97</v>
      </c>
      <c r="AN8" t="s">
        <v>86</v>
      </c>
      <c r="AO8" s="5">
        <v>953</v>
      </c>
      <c r="AP8" s="5">
        <v>4E+20</v>
      </c>
      <c r="AQ8" s="5">
        <v>0</v>
      </c>
      <c r="AR8" s="5">
        <v>953</v>
      </c>
      <c r="AS8" s="5">
        <v>953</v>
      </c>
    </row>
    <row r="9" spans="1:52" x14ac:dyDescent="0.35">
      <c r="B9" t="s">
        <v>78</v>
      </c>
      <c r="C9" t="s">
        <v>79</v>
      </c>
      <c r="D9" t="s">
        <v>80</v>
      </c>
      <c r="E9" s="5">
        <v>4.3261413067323797</v>
      </c>
      <c r="F9" s="5">
        <v>1</v>
      </c>
      <c r="G9" s="5">
        <v>0.98149520165625903</v>
      </c>
      <c r="H9" s="5">
        <v>0</v>
      </c>
      <c r="I9" s="5">
        <v>4.3261413067323797</v>
      </c>
      <c r="J9" s="5">
        <v>4.3261413067323797</v>
      </c>
      <c r="K9" s="5">
        <v>0</v>
      </c>
      <c r="L9" s="5">
        <v>34.298285192941002</v>
      </c>
      <c r="M9" s="5">
        <v>3544</v>
      </c>
      <c r="Q9" t="s">
        <v>87</v>
      </c>
      <c r="R9" t="s">
        <v>86</v>
      </c>
      <c r="S9" s="5">
        <v>0.92416002879321502</v>
      </c>
      <c r="T9" s="5">
        <v>1.4059464785362999E-2</v>
      </c>
      <c r="U9" s="5">
        <v>0</v>
      </c>
      <c r="V9" s="5">
        <v>0.92416002879321502</v>
      </c>
      <c r="W9" s="5">
        <v>0.92416002879321502</v>
      </c>
      <c r="X9" s="5">
        <v>0</v>
      </c>
      <c r="Y9" s="5">
        <v>1</v>
      </c>
      <c r="AL9" t="s">
        <v>101</v>
      </c>
      <c r="AM9" t="s">
        <v>99</v>
      </c>
      <c r="AN9" t="s">
        <v>86</v>
      </c>
      <c r="AO9" s="5">
        <v>0.92416002879321502</v>
      </c>
      <c r="AP9" s="5">
        <v>4E+20</v>
      </c>
      <c r="AQ9" s="5">
        <v>0</v>
      </c>
      <c r="AR9" s="5">
        <v>0.92416002879321502</v>
      </c>
      <c r="AS9" s="5">
        <v>0.92416002879321502</v>
      </c>
    </row>
    <row r="10" spans="1:52" x14ac:dyDescent="0.35">
      <c r="B10" t="s">
        <v>81</v>
      </c>
      <c r="C10" t="s">
        <v>79</v>
      </c>
      <c r="D10" t="s">
        <v>80</v>
      </c>
      <c r="E10" s="5">
        <v>13.501357948655899</v>
      </c>
      <c r="F10" s="5">
        <v>1</v>
      </c>
      <c r="G10" s="5">
        <v>2E+20</v>
      </c>
      <c r="H10" s="5">
        <v>0</v>
      </c>
      <c r="I10" s="5">
        <v>13.501357948655899</v>
      </c>
      <c r="J10" s="5">
        <v>13.501357948655899</v>
      </c>
      <c r="K10" s="5">
        <v>0</v>
      </c>
      <c r="L10" s="5">
        <v>22.2088086166168</v>
      </c>
      <c r="M10" s="5">
        <v>259</v>
      </c>
      <c r="Q10" t="s">
        <v>88</v>
      </c>
      <c r="R10" t="s">
        <v>86</v>
      </c>
      <c r="S10" s="5">
        <v>1</v>
      </c>
      <c r="T10" s="5">
        <v>2E+20</v>
      </c>
      <c r="U10" s="5">
        <v>0</v>
      </c>
      <c r="V10" s="5">
        <v>1</v>
      </c>
      <c r="W10" s="5">
        <v>1</v>
      </c>
      <c r="X10" s="5">
        <v>1</v>
      </c>
      <c r="Y10" s="5">
        <v>1</v>
      </c>
      <c r="AL10" t="s">
        <v>102</v>
      </c>
      <c r="AM10" t="s">
        <v>97</v>
      </c>
      <c r="AN10" t="s">
        <v>86</v>
      </c>
      <c r="AO10" s="5">
        <v>926</v>
      </c>
      <c r="AP10" s="5">
        <v>4E+20</v>
      </c>
      <c r="AQ10" s="5">
        <v>0</v>
      </c>
      <c r="AR10" s="5">
        <v>926</v>
      </c>
      <c r="AS10" s="5">
        <v>926</v>
      </c>
    </row>
    <row r="11" spans="1:52" x14ac:dyDescent="0.35">
      <c r="P11" t="s">
        <v>90</v>
      </c>
      <c r="Q11" t="s">
        <v>85</v>
      </c>
      <c r="R11" t="s">
        <v>86</v>
      </c>
      <c r="S11" s="5">
        <v>0.93910316400442195</v>
      </c>
      <c r="T11" s="5">
        <v>1.0564278570357801E-2</v>
      </c>
      <c r="U11" s="5">
        <v>0</v>
      </c>
      <c r="V11" s="5">
        <v>0.93910316400442195</v>
      </c>
      <c r="W11" s="5">
        <v>0.93910316400442195</v>
      </c>
      <c r="X11" s="5">
        <v>0</v>
      </c>
      <c r="Y11" s="5">
        <v>1</v>
      </c>
      <c r="AL11" t="s">
        <v>103</v>
      </c>
      <c r="AM11" t="s">
        <v>99</v>
      </c>
      <c r="AN11" t="s">
        <v>86</v>
      </c>
      <c r="AO11" s="5">
        <v>0.93910316400442195</v>
      </c>
      <c r="AP11" s="5">
        <v>4E+20</v>
      </c>
      <c r="AQ11" s="5">
        <v>0</v>
      </c>
      <c r="AR11" s="5">
        <v>0.93910316400442195</v>
      </c>
      <c r="AS11" s="5">
        <v>0.93910316400442195</v>
      </c>
    </row>
    <row r="12" spans="1:52" x14ac:dyDescent="0.35">
      <c r="Q12" t="s">
        <v>87</v>
      </c>
      <c r="R12" t="s">
        <v>86</v>
      </c>
      <c r="S12" s="5">
        <v>0.93910316400442195</v>
      </c>
      <c r="T12" s="5">
        <v>1.0564278570357801E-2</v>
      </c>
      <c r="U12" s="5">
        <v>0</v>
      </c>
      <c r="V12" s="5">
        <v>0.93910316400442195</v>
      </c>
      <c r="W12" s="5">
        <v>0.93910316400442195</v>
      </c>
      <c r="X12" s="5">
        <v>0</v>
      </c>
      <c r="Y12" s="5">
        <v>1</v>
      </c>
      <c r="AL12" t="s">
        <v>104</v>
      </c>
      <c r="AM12" t="s">
        <v>97</v>
      </c>
      <c r="AN12" t="s">
        <v>86</v>
      </c>
      <c r="AO12" s="5">
        <v>917</v>
      </c>
      <c r="AP12" s="5">
        <v>4E+20</v>
      </c>
      <c r="AQ12" s="5">
        <v>0</v>
      </c>
      <c r="AR12" s="5">
        <v>917</v>
      </c>
      <c r="AS12" s="5">
        <v>917</v>
      </c>
    </row>
    <row r="13" spans="1:52" x14ac:dyDescent="0.35">
      <c r="Q13" t="s">
        <v>88</v>
      </c>
      <c r="R13" t="s">
        <v>86</v>
      </c>
      <c r="S13" s="5">
        <v>1</v>
      </c>
      <c r="T13" s="5">
        <v>2E+20</v>
      </c>
      <c r="U13" s="5">
        <v>0</v>
      </c>
      <c r="V13" s="5">
        <v>1</v>
      </c>
      <c r="W13" s="5">
        <v>1</v>
      </c>
      <c r="X13" s="5">
        <v>1</v>
      </c>
      <c r="Y13" s="5">
        <v>1</v>
      </c>
      <c r="AL13" t="s">
        <v>105</v>
      </c>
      <c r="AM13" t="s">
        <v>99</v>
      </c>
      <c r="AN13" t="s">
        <v>86</v>
      </c>
      <c r="AO13" s="5">
        <v>0.93486115211151</v>
      </c>
      <c r="AP13" s="5">
        <v>4E+20</v>
      </c>
      <c r="AQ13" s="5">
        <v>0</v>
      </c>
      <c r="AR13" s="5">
        <v>0.93486115211151</v>
      </c>
      <c r="AS13" s="5">
        <v>0.93486115211151</v>
      </c>
    </row>
    <row r="14" spans="1:52" x14ac:dyDescent="0.35">
      <c r="P14" t="s">
        <v>91</v>
      </c>
      <c r="Q14" t="s">
        <v>85</v>
      </c>
      <c r="R14" t="s">
        <v>86</v>
      </c>
      <c r="S14" s="5">
        <v>0.93486115211151</v>
      </c>
      <c r="T14" s="5">
        <v>1.16338730221802E-2</v>
      </c>
      <c r="U14" s="5">
        <v>0</v>
      </c>
      <c r="V14" s="5">
        <v>0.93486115211151</v>
      </c>
      <c r="W14" s="5">
        <v>0.93486115211151</v>
      </c>
      <c r="X14" s="5">
        <v>0</v>
      </c>
      <c r="Y14" s="5">
        <v>1</v>
      </c>
    </row>
    <row r="15" spans="1:52" x14ac:dyDescent="0.35">
      <c r="Q15" t="s">
        <v>87</v>
      </c>
      <c r="R15" t="s">
        <v>86</v>
      </c>
      <c r="S15" s="5">
        <v>0.93486115211151</v>
      </c>
      <c r="T15" s="5">
        <v>1.16338730221802E-2</v>
      </c>
      <c r="U15" s="5">
        <v>0</v>
      </c>
      <c r="V15" s="5">
        <v>0.93486115211151</v>
      </c>
      <c r="W15" s="5">
        <v>0.93486115211151</v>
      </c>
      <c r="X15" s="5">
        <v>0</v>
      </c>
      <c r="Y15" s="5">
        <v>1</v>
      </c>
    </row>
    <row r="16" spans="1:52" x14ac:dyDescent="0.35">
      <c r="Q16" t="s">
        <v>88</v>
      </c>
      <c r="R16" t="s">
        <v>86</v>
      </c>
      <c r="S16" s="5">
        <v>1</v>
      </c>
      <c r="T16" s="5">
        <v>2E+20</v>
      </c>
      <c r="U16" s="5">
        <v>0</v>
      </c>
      <c r="V16" s="5">
        <v>1</v>
      </c>
      <c r="W16" s="5">
        <v>1</v>
      </c>
      <c r="X16" s="5">
        <v>1</v>
      </c>
      <c r="Y16" s="5">
        <v>1</v>
      </c>
    </row>
    <row r="17" spans="16:25" x14ac:dyDescent="0.35">
      <c r="P17" t="s">
        <v>81</v>
      </c>
      <c r="Q17" t="s">
        <v>83</v>
      </c>
      <c r="R17" t="s">
        <v>80</v>
      </c>
      <c r="S17" s="5">
        <v>0.175231931897982</v>
      </c>
      <c r="T17" s="5">
        <v>2.2533953600493799E-2</v>
      </c>
      <c r="U17" s="5">
        <v>0</v>
      </c>
      <c r="V17" s="5">
        <v>0.175231931897982</v>
      </c>
      <c r="W17" s="5">
        <v>0.175231931897982</v>
      </c>
      <c r="X17" s="5">
        <v>0</v>
      </c>
      <c r="Y17" s="5">
        <v>3</v>
      </c>
    </row>
  </sheetData>
  <dataConsolidate/>
  <conditionalFormatting pivot="1" sqref="G3:G10">
    <cfRule type="expression" dxfId="31" priority="14">
      <formula>G3=200000000000000000000</formula>
    </cfRule>
  </conditionalFormatting>
  <conditionalFormatting pivot="1" sqref="T3:T17">
    <cfRule type="expression" dxfId="30" priority="13">
      <formula>T3=200000000000000000000</formula>
    </cfRule>
  </conditionalFormatting>
  <conditionalFormatting pivot="1" sqref="T3:T17">
    <cfRule type="expression" dxfId="29" priority="12">
      <formula>T3=300000000000000000000</formula>
    </cfRule>
  </conditionalFormatting>
  <conditionalFormatting pivot="1" sqref="G3:G10">
    <cfRule type="expression" dxfId="28" priority="11">
      <formula>G3=300000000000000000000</formula>
    </cfRule>
  </conditionalFormatting>
  <conditionalFormatting pivot="1" sqref="F3:F10">
    <cfRule type="expression" dxfId="27" priority="10">
      <formula>F3=0</formula>
    </cfRule>
  </conditionalFormatting>
  <conditionalFormatting pivot="1" sqref="F3:F10">
    <cfRule type="expression" dxfId="26" priority="9">
      <formula>F3=1</formula>
    </cfRule>
  </conditionalFormatting>
  <conditionalFormatting pivot="1" sqref="T3:T17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0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9"/>
  <sheetViews>
    <sheetView topLeftCell="V1" workbookViewId="0">
      <selection activeCell="I14" sqref="I14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8.4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50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3538</v>
      </c>
      <c r="L2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3538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3538</v>
      </c>
      <c r="L3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3538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32.164190484656899</v>
      </c>
      <c r="H4">
        <v>1.3238016568572399</v>
      </c>
      <c r="I4">
        <v>20.383103710732001</v>
      </c>
      <c r="J4">
        <v>160.48065188781399</v>
      </c>
      <c r="K4">
        <v>3538</v>
      </c>
      <c r="L4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32.164190484656899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32.164190484656899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32.164190484656899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20.383103710732001</v>
      </c>
      <c r="U4" cm="1">
        <f t="array" ref="U4">MAX(IF((DiscreteStatsTable[GroupByKey]=DiscreteStatsTable[[#This Row],[GroupByKey]]),(DiscreteStatsTable[GroupByKey]=DiscreteStatsTable[[#This Row],[GroupByKey]])*DiscreteStatsTable[Maximum]))</f>
        <v>160.48065188781399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3538</v>
      </c>
      <c r="W4">
        <f>IF((DiscreteStatsTable[[#This Row],[RepsRequested]]&gt;1),DiscreteStatsTable[[#This Row],[HalfWidth]],DiscreteStatsTable[[#This Row],[BatchMeansHalfWidth]])</f>
        <v>1.3238016568572399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1.6128960655194999</v>
      </c>
      <c r="H5">
        <v>1.4320572697419201E-2</v>
      </c>
      <c r="I5">
        <v>1.01293213844838</v>
      </c>
      <c r="J5">
        <v>5.7847335046371899</v>
      </c>
      <c r="K5">
        <v>3538</v>
      </c>
      <c r="L5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1.6128960655194999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1.6128960655194999</v>
      </c>
      <c r="S5" cm="1">
        <f t="array" ref="S5">MAX(IF((DiscreteStatsTable[GroupByKey]=DiscreteStatsTable[[#This Row],[GroupByKey]]),(DiscreteStatsTable[GroupByKey]=DiscreteStatsTable[[#This Row],[GroupByKey]])*DiscreteStatsTable[Average]))</f>
        <v>1.6128960655194999</v>
      </c>
      <c r="T5" cm="1">
        <f t="array" ref="T5">MIN(IF((DiscreteStatsTable[GroupByKey]=DiscreteStatsTable[[#This Row],[GroupByKey]]),(DiscreteStatsTable[GroupByKey]=DiscreteStatsTable[[#This Row],[GroupByKey]])*DiscreteStatsTable[Minimum]))</f>
        <v>1.01293213844838</v>
      </c>
      <c r="U5" cm="1">
        <f t="array" ref="U5">MAX(IF((DiscreteStatsTable[GroupByKey]=DiscreteStatsTable[[#This Row],[GroupByKey]]),(DiscreteStatsTable[GroupByKey]=DiscreteStatsTable[[#This Row],[GroupByKey]])*DiscreteStatsTable[Maximum]))</f>
        <v>5.7847335046371899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3538</v>
      </c>
      <c r="W5">
        <f>IF((DiscreteStatsTable[[#This Row],[RepsRequested]]&gt;1),DiscreteStatsTable[[#This Row],[HalfWidth]],DiscreteStatsTable[[#This Row],[BatchMeansHalfWidth]])</f>
        <v>1.4320572697419201E-2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25.231685291343201</v>
      </c>
      <c r="H6">
        <v>0.28551889742242098</v>
      </c>
      <c r="I6">
        <v>18.512549188928499</v>
      </c>
      <c r="J6">
        <v>109.951818393696</v>
      </c>
      <c r="K6">
        <v>3538</v>
      </c>
      <c r="L6" t="str">
        <f>DiscreteStatsTable[[#This Row],[ProjectName]]&amp;DiscreteStatsTable[[#This Row],[Name]]&amp;DiscreteStatsTable[[#This Row],[Type]]&amp;DiscreteStatsTable[[#This Row],[Source]]</f>
        <v>Unnamed ProjectByggsatsVA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25.231685291343201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25.231685291343201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25.231685291343201</v>
      </c>
      <c r="T6" cm="1">
        <f t="array" ref="T6">MIN(IF((DiscreteStatsTable[GroupByKey]=DiscreteStatsTable[[#This Row],[GroupByKey]]),(DiscreteStatsTable[GroupByKey]=DiscreteStatsTable[[#This Row],[GroupByKey]])*DiscreteStatsTable[Minimum]))</f>
        <v>18.512549188928499</v>
      </c>
      <c r="U6" cm="1">
        <f t="array" ref="U6">MAX(IF((DiscreteStatsTable[GroupByKey]=DiscreteStatsTable[[#This Row],[GroupByKey]]),(DiscreteStatsTable[GroupByKey]=DiscreteStatsTable[[#This Row],[GroupByKey]])*DiscreteStatsTable[Maximum]))</f>
        <v>109.951818393696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3538</v>
      </c>
      <c r="W6">
        <f>IF((DiscreteStatsTable[[#This Row],[RepsRequested]]&gt;1),DiscreteStatsTable[[#This Row],[HalfWidth]],DiscreteStatsTable[[#This Row],[BatchMeansHalfWidth]])</f>
        <v>0.28551889742242098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5.31960912779416</v>
      </c>
      <c r="H7">
        <v>1.0751094545150199</v>
      </c>
      <c r="I7">
        <v>0</v>
      </c>
      <c r="J7">
        <v>55.413123199874498</v>
      </c>
      <c r="K7">
        <v>3538</v>
      </c>
      <c r="L7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5.31960912779416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5.31960912779416</v>
      </c>
      <c r="S7" cm="1">
        <f t="array" ref="S7">MAX(IF((DiscreteStatsTable[GroupByKey]=DiscreteStatsTable[[#This Row],[GroupByKey]]),(DiscreteStatsTable[GroupByKey]=DiscreteStatsTable[[#This Row],[GroupByKey]])*DiscreteStatsTable[Average]))</f>
        <v>5.31960912779416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55.413123199874498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3538</v>
      </c>
      <c r="W7">
        <f>IF((DiscreteStatsTable[[#This Row],[RepsRequested]]&gt;1),DiscreteStatsTable[[#This Row],[HalfWidth]],DiscreteStatsTable[[#This Row],[BatchMeansHalfWidth]])</f>
        <v>1.0751094545150199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79</v>
      </c>
      <c r="F8" t="s">
        <v>80</v>
      </c>
      <c r="G8">
        <v>4.3261413067323797</v>
      </c>
      <c r="H8">
        <v>0.98149520165625903</v>
      </c>
      <c r="I8">
        <v>0</v>
      </c>
      <c r="J8">
        <v>34.298285192941002</v>
      </c>
      <c r="K8">
        <v>3544</v>
      </c>
      <c r="L8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4.3261413067323797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4.3261413067323797</v>
      </c>
      <c r="S8" cm="1">
        <f t="array" ref="S8">MAX(IF((DiscreteStatsTable[GroupByKey]=DiscreteStatsTable[[#This Row],[GroupByKey]]),(DiscreteStatsTable[GroupByKey]=DiscreteStatsTable[[#This Row],[GroupByKey]])*DiscreteStatsTable[Average]))</f>
        <v>4.3261413067323797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34.298285192941002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3544</v>
      </c>
      <c r="W8">
        <f>IF((DiscreteStatsTable[[#This Row],[RepsRequested]]&gt;1),DiscreteStatsTable[[#This Row],[HalfWidth]],DiscreteStatsTable[[#This Row],[BatchMeansHalfWidth]])</f>
        <v>0.98149520165625903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81</v>
      </c>
      <c r="E9" t="s">
        <v>79</v>
      </c>
      <c r="F9" t="s">
        <v>80</v>
      </c>
      <c r="G9">
        <v>13.501357948655899</v>
      </c>
      <c r="H9">
        <v>2E+20</v>
      </c>
      <c r="I9">
        <v>0</v>
      </c>
      <c r="J9">
        <v>22.2088086166168</v>
      </c>
      <c r="K9">
        <v>259</v>
      </c>
      <c r="L9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13.501357948655899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13.501357948655899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13.501357948655899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22.2088086166168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259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</sheetData>
  <phoneticPr fontId="2" type="noConversion"/>
  <conditionalFormatting sqref="H2:H9 Q2:Q9">
    <cfRule type="expression" dxfId="20" priority="23">
      <formula>H2=200000000000000000000</formula>
    </cfRule>
  </conditionalFormatting>
  <conditionalFormatting sqref="H2:H9">
    <cfRule type="expression" dxfId="19" priority="21">
      <formula>H2=300000000000000000000</formula>
    </cfRule>
  </conditionalFormatting>
  <conditionalFormatting sqref="L2:Y9">
    <cfRule type="expression" dxfId="18" priority="19">
      <formula>MOD(ROW(),2)=0</formula>
    </cfRule>
  </conditionalFormatting>
  <conditionalFormatting sqref="Y2:Y9">
    <cfRule type="expression" dxfId="17" priority="14">
      <formula>Y2=0</formula>
    </cfRule>
    <cfRule type="expression" dxfId="16" priority="16">
      <formula>Y2=1</formula>
    </cfRule>
  </conditionalFormatting>
  <conditionalFormatting sqref="Y3:Y9">
    <cfRule type="expression" dxfId="15" priority="15">
      <formula>Y3=1</formula>
    </cfRule>
  </conditionalFormatting>
  <conditionalFormatting sqref="W2:W9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9 W2:W9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6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8.4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2.7265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82</v>
      </c>
      <c r="F2" t="s">
        <v>72</v>
      </c>
      <c r="G2">
        <v>5.6949752076206996</v>
      </c>
      <c r="H2">
        <v>0.24506689406965099</v>
      </c>
      <c r="I2">
        <v>0</v>
      </c>
      <c r="J2">
        <v>12</v>
      </c>
      <c r="K2">
        <v>7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5.6949752076206996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5.6949752076206996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5.6949752076206996</v>
      </c>
      <c r="U2">
        <f>IF((ContinuousStatsTable[[#This Row],[RepsRequested]]&gt;1),ContinuousStatsTable[[#This Row],[HalfWidth]],ContinuousStatsTable[[#This Row],[BatchMeansHalfWidth]])</f>
        <v>0.24506689406965099</v>
      </c>
    </row>
    <row r="3" spans="1:21" x14ac:dyDescent="0.35">
      <c r="A3" t="s">
        <v>66</v>
      </c>
      <c r="B3" t="s">
        <v>69</v>
      </c>
      <c r="C3">
        <v>1</v>
      </c>
      <c r="D3" t="s">
        <v>78</v>
      </c>
      <c r="E3" t="s">
        <v>83</v>
      </c>
      <c r="F3" t="s">
        <v>80</v>
      </c>
      <c r="G3">
        <v>0.76659223955298095</v>
      </c>
      <c r="H3">
        <v>0.17396076180731501</v>
      </c>
      <c r="I3">
        <v>0</v>
      </c>
      <c r="J3">
        <v>6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0.76659223955298095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0.76659223955298095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0.76659223955298095</v>
      </c>
      <c r="U3">
        <f>IF((ContinuousStatsTable[[#This Row],[RepsRequested]]&gt;1),ContinuousStatsTable[[#This Row],[HalfWidth]],ContinuousStatsTable[[#This Row],[BatchMeansHalfWidth]])</f>
        <v>0.17396076180731501</v>
      </c>
    </row>
    <row r="4" spans="1:21" x14ac:dyDescent="0.35">
      <c r="A4" t="s">
        <v>66</v>
      </c>
      <c r="B4" t="s">
        <v>69</v>
      </c>
      <c r="C4">
        <v>1</v>
      </c>
      <c r="D4" t="s">
        <v>84</v>
      </c>
      <c r="E4" t="s">
        <v>85</v>
      </c>
      <c r="F4" t="s">
        <v>86</v>
      </c>
      <c r="G4">
        <v>0.90588248583243702</v>
      </c>
      <c r="H4">
        <v>1.6324479275060901E-2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0.90588248583243702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0.90588248583243702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0.90588248583243702</v>
      </c>
      <c r="U4">
        <f>IF((ContinuousStatsTable[[#This Row],[RepsRequested]]&gt;1),ContinuousStatsTable[[#This Row],[HalfWidth]],ContinuousStatsTable[[#This Row],[BatchMeansHalfWidth]])</f>
        <v>1.6324479275060901E-2</v>
      </c>
    </row>
    <row r="5" spans="1:21" x14ac:dyDescent="0.35">
      <c r="A5" t="s">
        <v>66</v>
      </c>
      <c r="B5" t="s">
        <v>69</v>
      </c>
      <c r="C5">
        <v>1</v>
      </c>
      <c r="D5" t="s">
        <v>84</v>
      </c>
      <c r="E5" t="s">
        <v>87</v>
      </c>
      <c r="F5" t="s">
        <v>86</v>
      </c>
      <c r="G5">
        <v>0.90588248583243702</v>
      </c>
      <c r="H5">
        <v>1.6324479275060901E-2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0.90588248583243702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0.90588248583243702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0.90588248583243702</v>
      </c>
      <c r="U5">
        <f>IF((ContinuousStatsTable[[#This Row],[RepsRequested]]&gt;1),ContinuousStatsTable[[#This Row],[HalfWidth]],ContinuousStatsTable[[#This Row],[BatchMeansHalfWidth]])</f>
        <v>1.6324479275060901E-2</v>
      </c>
    </row>
    <row r="6" spans="1:21" x14ac:dyDescent="0.35">
      <c r="A6" t="s">
        <v>66</v>
      </c>
      <c r="B6" t="s">
        <v>69</v>
      </c>
      <c r="C6">
        <v>1</v>
      </c>
      <c r="D6" t="s">
        <v>84</v>
      </c>
      <c r="E6" t="s">
        <v>88</v>
      </c>
      <c r="F6" t="s">
        <v>86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89</v>
      </c>
      <c r="E7" t="s">
        <v>85</v>
      </c>
      <c r="F7" t="s">
        <v>86</v>
      </c>
      <c r="G7">
        <v>0.92416002879321502</v>
      </c>
      <c r="H7">
        <v>1.4059464785362999E-2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0.92416002879321502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0.92416002879321502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0.92416002879321502</v>
      </c>
      <c r="U7">
        <f>IF((ContinuousStatsTable[[#This Row],[RepsRequested]]&gt;1),ContinuousStatsTable[[#This Row],[HalfWidth]],ContinuousStatsTable[[#This Row],[BatchMeansHalfWidth]])</f>
        <v>1.4059464785362999E-2</v>
      </c>
    </row>
    <row r="8" spans="1:21" x14ac:dyDescent="0.35">
      <c r="A8" t="s">
        <v>66</v>
      </c>
      <c r="B8" t="s">
        <v>69</v>
      </c>
      <c r="C8">
        <v>1</v>
      </c>
      <c r="D8" t="s">
        <v>89</v>
      </c>
      <c r="E8" t="s">
        <v>87</v>
      </c>
      <c r="F8" t="s">
        <v>86</v>
      </c>
      <c r="G8">
        <v>0.92416002879321502</v>
      </c>
      <c r="H8">
        <v>1.4059464785362999E-2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0.92416002879321502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0.92416002879321502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0.92416002879321502</v>
      </c>
      <c r="U8">
        <f>IF((ContinuousStatsTable[[#This Row],[RepsRequested]]&gt;1),ContinuousStatsTable[[#This Row],[HalfWidth]],ContinuousStatsTable[[#This Row],[BatchMeansHalfWidth]])</f>
        <v>1.4059464785362999E-2</v>
      </c>
    </row>
    <row r="9" spans="1:21" x14ac:dyDescent="0.35">
      <c r="A9" t="s">
        <v>66</v>
      </c>
      <c r="B9" t="s">
        <v>69</v>
      </c>
      <c r="C9">
        <v>1</v>
      </c>
      <c r="D9" t="s">
        <v>89</v>
      </c>
      <c r="E9" t="s">
        <v>88</v>
      </c>
      <c r="F9" t="s">
        <v>86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5">
      <c r="A10" t="s">
        <v>66</v>
      </c>
      <c r="B10" t="s">
        <v>69</v>
      </c>
      <c r="C10">
        <v>1</v>
      </c>
      <c r="D10" t="s">
        <v>90</v>
      </c>
      <c r="E10" t="s">
        <v>85</v>
      </c>
      <c r="F10" t="s">
        <v>86</v>
      </c>
      <c r="G10">
        <v>0.93910316400442195</v>
      </c>
      <c r="H10">
        <v>1.0564278570357801E-2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0.93910316400442195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0.93910316400442195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0.93910316400442195</v>
      </c>
      <c r="U10">
        <f>IF((ContinuousStatsTable[[#This Row],[RepsRequested]]&gt;1),ContinuousStatsTable[[#This Row],[HalfWidth]],ContinuousStatsTable[[#This Row],[BatchMeansHalfWidth]])</f>
        <v>1.0564278570357801E-2</v>
      </c>
    </row>
    <row r="11" spans="1:21" x14ac:dyDescent="0.35">
      <c r="A11" t="s">
        <v>66</v>
      </c>
      <c r="B11" t="s">
        <v>69</v>
      </c>
      <c r="C11">
        <v>1</v>
      </c>
      <c r="D11" t="s">
        <v>90</v>
      </c>
      <c r="E11" t="s">
        <v>87</v>
      </c>
      <c r="F11" t="s">
        <v>86</v>
      </c>
      <c r="G11">
        <v>0.93910316400442195</v>
      </c>
      <c r="H11">
        <v>1.0564278570357801E-2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0.93910316400442195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0.93910316400442195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0.93910316400442195</v>
      </c>
      <c r="U11">
        <f>IF((ContinuousStatsTable[[#This Row],[RepsRequested]]&gt;1),ContinuousStatsTable[[#This Row],[HalfWidth]],ContinuousStatsTable[[#This Row],[BatchMeansHalfWidth]])</f>
        <v>1.0564278570357801E-2</v>
      </c>
    </row>
    <row r="12" spans="1:21" x14ac:dyDescent="0.35">
      <c r="A12" t="s">
        <v>66</v>
      </c>
      <c r="B12" t="s">
        <v>69</v>
      </c>
      <c r="C12">
        <v>1</v>
      </c>
      <c r="D12" t="s">
        <v>90</v>
      </c>
      <c r="E12" t="s">
        <v>88</v>
      </c>
      <c r="F12" t="s">
        <v>86</v>
      </c>
      <c r="G12">
        <v>1</v>
      </c>
      <c r="H12">
        <v>2E+20</v>
      </c>
      <c r="I12">
        <v>1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1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91</v>
      </c>
      <c r="E13" t="s">
        <v>85</v>
      </c>
      <c r="F13" t="s">
        <v>86</v>
      </c>
      <c r="G13">
        <v>0.93486115211151</v>
      </c>
      <c r="H13">
        <v>1.16338730221802E-2</v>
      </c>
      <c r="I13">
        <v>0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0.93486115211151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0.93486115211151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0.93486115211151</v>
      </c>
      <c r="U13" s="5">
        <f>IF((ContinuousStatsTable[[#This Row],[RepsRequested]]&gt;1),ContinuousStatsTable[[#This Row],[HalfWidth]],ContinuousStatsTable[[#This Row],[BatchMeansHalfWidth]])</f>
        <v>1.16338730221802E-2</v>
      </c>
    </row>
    <row r="14" spans="1:21" x14ac:dyDescent="0.35">
      <c r="A14" t="s">
        <v>66</v>
      </c>
      <c r="B14" t="s">
        <v>69</v>
      </c>
      <c r="C14">
        <v>1</v>
      </c>
      <c r="D14" t="s">
        <v>91</v>
      </c>
      <c r="E14" t="s">
        <v>87</v>
      </c>
      <c r="F14" t="s">
        <v>86</v>
      </c>
      <c r="G14">
        <v>0.93486115211151</v>
      </c>
      <c r="H14">
        <v>1.16338730221802E-2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0.93486115211151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0.93486115211151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0.93486115211151</v>
      </c>
      <c r="U14" s="5">
        <f>IF((ContinuousStatsTable[[#This Row],[RepsRequested]]&gt;1),ContinuousStatsTable[[#This Row],[HalfWidth]],ContinuousStatsTable[[#This Row],[BatchMeansHalfWidth]])</f>
        <v>1.16338730221802E-2</v>
      </c>
    </row>
    <row r="15" spans="1:21" x14ac:dyDescent="0.35">
      <c r="A15" t="s">
        <v>66</v>
      </c>
      <c r="B15" t="s">
        <v>69</v>
      </c>
      <c r="C15">
        <v>1</v>
      </c>
      <c r="D15" t="s">
        <v>91</v>
      </c>
      <c r="E15" t="s">
        <v>88</v>
      </c>
      <c r="F15" t="s">
        <v>86</v>
      </c>
      <c r="G15">
        <v>1</v>
      </c>
      <c r="H15">
        <v>2E+20</v>
      </c>
      <c r="I15">
        <v>1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66</v>
      </c>
      <c r="B16" t="s">
        <v>69</v>
      </c>
      <c r="C16">
        <v>1</v>
      </c>
      <c r="D16" t="s">
        <v>81</v>
      </c>
      <c r="E16" t="s">
        <v>83</v>
      </c>
      <c r="F16" t="s">
        <v>80</v>
      </c>
      <c r="G16">
        <v>0.175231931897982</v>
      </c>
      <c r="H16">
        <v>2.2533953600493799E-2</v>
      </c>
      <c r="I16">
        <v>0</v>
      </c>
      <c r="J16">
        <v>3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0.175231931897982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0.175231931897982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0.175231931897982</v>
      </c>
      <c r="U16" s="5">
        <f>IF((ContinuousStatsTable[[#This Row],[RepsRequested]]&gt;1),ContinuousStatsTable[[#This Row],[HalfWidth]],ContinuousStatsTable[[#This Row],[BatchMeansHalfWidth]])</f>
        <v>2.2533953600493799E-2</v>
      </c>
    </row>
  </sheetData>
  <phoneticPr fontId="2" type="noConversion"/>
  <conditionalFormatting sqref="H2:H16">
    <cfRule type="expression" dxfId="11" priority="9">
      <formula>H2=200000000000000000000</formula>
    </cfRule>
  </conditionalFormatting>
  <conditionalFormatting sqref="H2:H16">
    <cfRule type="expression" dxfId="10" priority="7">
      <formula>H2=300000000000000000000</formula>
    </cfRule>
  </conditionalFormatting>
  <conditionalFormatting sqref="M2:U16">
    <cfRule type="expression" dxfId="9" priority="5">
      <formula>MOD(ROW(),2)=0</formula>
    </cfRule>
  </conditionalFormatting>
  <conditionalFormatting sqref="U2:U1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6 U2:U1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2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2.2695312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92</v>
      </c>
      <c r="E2" t="s">
        <v>93</v>
      </c>
      <c r="F2" t="s">
        <v>72</v>
      </c>
      <c r="G2">
        <v>3545</v>
      </c>
      <c r="H2">
        <v>0</v>
      </c>
      <c r="I2" t="str">
        <f>OutputTable[[#This Row],[ProjectName]]&amp;OutputTable[[#This Row],[Name]]&amp;OutputTable[[#This Row],[Type]]&amp;OutputTable[[#This Row],[Source]]</f>
        <v>Unnamed ProjectByggsats.NumberInNumber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3545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3545</v>
      </c>
      <c r="P2" cm="1">
        <f t="array" ref="P2">MAX(IF((OutputTable[GroupByKey]=OutputTable[[#This Row],[GroupByKey]]),(OutputTable[GroupByKey]=OutputTable[[#This Row],[GroupByKey]])*OutputTable[RecordedValue]))</f>
        <v>3545</v>
      </c>
    </row>
    <row r="3" spans="1:16" x14ac:dyDescent="0.35">
      <c r="A3" t="s">
        <v>66</v>
      </c>
      <c r="B3" t="s">
        <v>69</v>
      </c>
      <c r="C3">
        <v>1</v>
      </c>
      <c r="D3" t="s">
        <v>94</v>
      </c>
      <c r="E3" t="s">
        <v>95</v>
      </c>
      <c r="F3" t="s">
        <v>72</v>
      </c>
      <c r="G3">
        <v>3538</v>
      </c>
      <c r="H3">
        <v>0</v>
      </c>
      <c r="I3" t="str">
        <f>OutputTable[[#This Row],[ProjectName]]&amp;OutputTable[[#This Row],[Name]]&amp;OutputTable[[#This Row],[Type]]&amp;OutputTable[[#This Row],[Source]]</f>
        <v>Unnamed ProjectByggsats.NumberOutNumber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3538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3538</v>
      </c>
      <c r="P3" cm="1">
        <f t="array" ref="P3">MAX(IF((OutputTable[GroupByKey]=OutputTable[[#This Row],[GroupByKey]]),(OutputTable[GroupByKey]=OutputTable[[#This Row],[GroupByKey]])*OutputTable[RecordedValue]))</f>
        <v>3538</v>
      </c>
    </row>
    <row r="4" spans="1:16" x14ac:dyDescent="0.35">
      <c r="A4" t="s">
        <v>66</v>
      </c>
      <c r="B4" t="s">
        <v>69</v>
      </c>
      <c r="C4">
        <v>1</v>
      </c>
      <c r="D4" t="s">
        <v>96</v>
      </c>
      <c r="E4" t="s">
        <v>97</v>
      </c>
      <c r="F4" t="s">
        <v>86</v>
      </c>
      <c r="G4">
        <v>1007</v>
      </c>
      <c r="H4">
        <v>0</v>
      </c>
      <c r="I4" t="str">
        <f>OutputTable[[#This Row],[ProjectName]]&amp;OutputTable[[#This Row],[Name]]&amp;OutputTable[[#This Row],[Type]]&amp;OutputTable[[#This Row],[Source]]</f>
        <v>Unnamed ProjectOp1.NumberSeizedTotal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1007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1007</v>
      </c>
      <c r="P4" cm="1">
        <f t="array" ref="P4">MAX(IF((OutputTable[GroupByKey]=OutputTable[[#This Row],[GroupByKey]]),(OutputTable[GroupByKey]=OutputTable[[#This Row],[GroupByKey]])*OutputTable[RecordedValue]))</f>
        <v>1007</v>
      </c>
    </row>
    <row r="5" spans="1:16" x14ac:dyDescent="0.35">
      <c r="A5" t="s">
        <v>66</v>
      </c>
      <c r="B5" t="s">
        <v>69</v>
      </c>
      <c r="C5">
        <v>1</v>
      </c>
      <c r="D5" t="s">
        <v>98</v>
      </c>
      <c r="E5" t="s">
        <v>99</v>
      </c>
      <c r="F5" t="s">
        <v>86</v>
      </c>
      <c r="G5">
        <v>0.90588248583243702</v>
      </c>
      <c r="H5">
        <v>0</v>
      </c>
      <c r="I5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0.90588248583243702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0.90588248583243702</v>
      </c>
      <c r="P5" cm="1">
        <f t="array" ref="P5">MAX(IF((OutputTable[GroupByKey]=OutputTable[[#This Row],[GroupByKey]]),(OutputTable[GroupByKey]=OutputTable[[#This Row],[GroupByKey]])*OutputTable[RecordedValue]))</f>
        <v>0.90588248583243702</v>
      </c>
    </row>
    <row r="6" spans="1:16" x14ac:dyDescent="0.35">
      <c r="A6" t="s">
        <v>66</v>
      </c>
      <c r="B6" t="s">
        <v>69</v>
      </c>
      <c r="C6">
        <v>1</v>
      </c>
      <c r="D6" t="s">
        <v>100</v>
      </c>
      <c r="E6" t="s">
        <v>97</v>
      </c>
      <c r="F6" t="s">
        <v>86</v>
      </c>
      <c r="G6">
        <v>953</v>
      </c>
      <c r="H6">
        <v>0</v>
      </c>
      <c r="I6" t="str">
        <f>OutputTable[[#This Row],[ProjectName]]&amp;OutputTable[[#This Row],[Name]]&amp;OutputTable[[#This Row],[Type]]&amp;OutputTable[[#This Row],[Source]]</f>
        <v>Unnamed ProjectOp2.NumberSeizedTotal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953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953</v>
      </c>
      <c r="P6" cm="1">
        <f t="array" ref="P6">MAX(IF((OutputTable[GroupByKey]=OutputTable[[#This Row],[GroupByKey]]),(OutputTable[GroupByKey]=OutputTable[[#This Row],[GroupByKey]])*OutputTable[RecordedValue]))</f>
        <v>953</v>
      </c>
    </row>
    <row r="7" spans="1:16" x14ac:dyDescent="0.35">
      <c r="A7" t="s">
        <v>66</v>
      </c>
      <c r="B7" t="s">
        <v>69</v>
      </c>
      <c r="C7">
        <v>1</v>
      </c>
      <c r="D7" t="s">
        <v>101</v>
      </c>
      <c r="E7" t="s">
        <v>99</v>
      </c>
      <c r="F7" t="s">
        <v>86</v>
      </c>
      <c r="G7">
        <v>0.92416002879321502</v>
      </c>
      <c r="H7">
        <v>0</v>
      </c>
      <c r="I7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0.92416002879321502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0.92416002879321502</v>
      </c>
      <c r="P7" cm="1">
        <f t="array" ref="P7">MAX(IF((OutputTable[GroupByKey]=OutputTable[[#This Row],[GroupByKey]]),(OutputTable[GroupByKey]=OutputTable[[#This Row],[GroupByKey]])*OutputTable[RecordedValue]))</f>
        <v>0.92416002879321502</v>
      </c>
    </row>
    <row r="8" spans="1:16" x14ac:dyDescent="0.35">
      <c r="A8" t="s">
        <v>66</v>
      </c>
      <c r="B8" t="s">
        <v>69</v>
      </c>
      <c r="C8">
        <v>1</v>
      </c>
      <c r="D8" t="s">
        <v>102</v>
      </c>
      <c r="E8" t="s">
        <v>97</v>
      </c>
      <c r="F8" t="s">
        <v>86</v>
      </c>
      <c r="G8">
        <v>926</v>
      </c>
      <c r="H8">
        <v>0</v>
      </c>
      <c r="I8" t="str">
        <f>OutputTable[[#This Row],[ProjectName]]&amp;OutputTable[[#This Row],[Name]]&amp;OutputTable[[#This Row],[Type]]&amp;OutputTable[[#This Row],[Source]]</f>
        <v>Unnamed ProjectOp3.NumberSeizedTotal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926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926</v>
      </c>
      <c r="P8" cm="1">
        <f t="array" ref="P8">MAX(IF((OutputTable[GroupByKey]=OutputTable[[#This Row],[GroupByKey]]),(OutputTable[GroupByKey]=OutputTable[[#This Row],[GroupByKey]])*OutputTable[RecordedValue]))</f>
        <v>926</v>
      </c>
    </row>
    <row r="9" spans="1:16" x14ac:dyDescent="0.35">
      <c r="A9" t="s">
        <v>66</v>
      </c>
      <c r="B9" t="s">
        <v>69</v>
      </c>
      <c r="C9">
        <v>1</v>
      </c>
      <c r="D9" t="s">
        <v>103</v>
      </c>
      <c r="E9" t="s">
        <v>99</v>
      </c>
      <c r="F9" t="s">
        <v>86</v>
      </c>
      <c r="G9">
        <v>0.93910316400442195</v>
      </c>
      <c r="H9">
        <v>0</v>
      </c>
      <c r="I9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0.93910316400442195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0.93910316400442195</v>
      </c>
      <c r="P9" cm="1">
        <f t="array" ref="P9">MAX(IF((OutputTable[GroupByKey]=OutputTable[[#This Row],[GroupByKey]]),(OutputTable[GroupByKey]=OutputTable[[#This Row],[GroupByKey]])*OutputTable[RecordedValue]))</f>
        <v>0.93910316400442195</v>
      </c>
    </row>
    <row r="10" spans="1:16" x14ac:dyDescent="0.35">
      <c r="A10" t="s">
        <v>66</v>
      </c>
      <c r="B10" t="s">
        <v>69</v>
      </c>
      <c r="C10">
        <v>1</v>
      </c>
      <c r="D10" t="s">
        <v>104</v>
      </c>
      <c r="E10" t="s">
        <v>97</v>
      </c>
      <c r="F10" t="s">
        <v>86</v>
      </c>
      <c r="G10">
        <v>917</v>
      </c>
      <c r="H10">
        <v>0</v>
      </c>
      <c r="I10" t="str">
        <f>OutputTable[[#This Row],[ProjectName]]&amp;OutputTable[[#This Row],[Name]]&amp;OutputTable[[#This Row],[Type]]&amp;OutputTable[[#This Row],[Source]]</f>
        <v>Unnamed ProjectOp4.NumberSeizedTotal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917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917</v>
      </c>
      <c r="P10" cm="1">
        <f t="array" ref="P10">MAX(IF((OutputTable[GroupByKey]=OutputTable[[#This Row],[GroupByKey]]),(OutputTable[GroupByKey]=OutputTable[[#This Row],[GroupByKey]])*OutputTable[RecordedValue]))</f>
        <v>917</v>
      </c>
    </row>
    <row r="11" spans="1:16" x14ac:dyDescent="0.35">
      <c r="A11" t="s">
        <v>66</v>
      </c>
      <c r="B11" t="s">
        <v>69</v>
      </c>
      <c r="C11">
        <v>1</v>
      </c>
      <c r="D11" t="s">
        <v>105</v>
      </c>
      <c r="E11" t="s">
        <v>99</v>
      </c>
      <c r="F11" t="s">
        <v>86</v>
      </c>
      <c r="G11">
        <v>0.93486115211151</v>
      </c>
      <c r="H11">
        <v>0</v>
      </c>
      <c r="I11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0.93486115211151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0.93486115211151</v>
      </c>
      <c r="P11" cm="1">
        <f t="array" ref="P11">MAX(IF((OutputTable[GroupByKey]=OutputTable[[#This Row],[GroupByKey]]),(OutputTable[GroupByKey]=OutputTable[[#This Row],[GroupByKey]])*OutputTable[RecordedValue]))</f>
        <v>0.93486115211151</v>
      </c>
    </row>
    <row r="12" spans="1:16" x14ac:dyDescent="0.35">
      <c r="A12" t="s">
        <v>66</v>
      </c>
      <c r="B12" t="s">
        <v>69</v>
      </c>
      <c r="C12">
        <v>1</v>
      </c>
      <c r="D12" t="s">
        <v>106</v>
      </c>
      <c r="E12" t="s">
        <v>95</v>
      </c>
      <c r="F12" t="s">
        <v>107</v>
      </c>
      <c r="G12">
        <v>3538</v>
      </c>
      <c r="H12">
        <v>0</v>
      </c>
      <c r="I12" t="str">
        <f>OutputTable[[#This Row],[ProjectName]]&amp;OutputTable[[#This Row],[Name]]&amp;OutputTable[[#This Row],[Type]]&amp;OutputTable[[#This Row],[Source]]</f>
        <v>Unnamed ProjectSystem.NumberOutNumber OutSystem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3538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3538</v>
      </c>
      <c r="P12" cm="1">
        <f t="array" ref="P12">MAX(IF((OutputTable[GroupByKey]=OutputTable[[#This Row],[GroupByKey]]),(OutputTable[GroupByKey]=OutputTable[[#This Row],[GroupByKey]])*OutputTable[RecordedValue]))</f>
        <v>3538</v>
      </c>
    </row>
  </sheetData>
  <phoneticPr fontId="2" type="noConversion"/>
  <conditionalFormatting sqref="I2:P12">
    <cfRule type="expression" dxfId="3" priority="2">
      <formula>MOD(ROW(),2)=0</formula>
    </cfRule>
  </conditionalFormatting>
  <conditionalFormatting sqref="N2:N1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2026-02-19T08:10:47Z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