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3\"/>
    </mc:Choice>
  </mc:AlternateContent>
  <xr:revisionPtr revIDLastSave="0" documentId="13_ncr:1_{F0A3CB92-D963-4246-A793-5EBC41E3C04A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CounterStatsByRep!$A$1:$G$2</definedName>
    <definedName name="ExternalData_1" localSheetId="2" hidden="1">DiscreteTimeStatsByRep!$A$1:$K$81</definedName>
    <definedName name="ExternalData_1" localSheetId="6" hidden="1">FrequencyStatsByRep!$A$1:$K$2</definedName>
    <definedName name="ExternalData_1" localSheetId="5" hidden="1">OutputStatsByRep!$A$1:$H$121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O31" i="20" s="1" a="1"/>
  <c r="O31" i="20" s="1"/>
  <c r="I32" i="20"/>
  <c r="O32" i="20" s="1" a="1"/>
  <c r="O32" i="20" s="1"/>
  <c r="I33" i="20"/>
  <c r="O33" i="20" s="1" a="1"/>
  <c r="O33" i="20" s="1"/>
  <c r="I34" i="20"/>
  <c r="I35" i="20"/>
  <c r="I36" i="20"/>
  <c r="I37" i="20"/>
  <c r="I38" i="20"/>
  <c r="I39" i="20"/>
  <c r="O39" i="20" s="1" a="1"/>
  <c r="O39" i="20" s="1"/>
  <c r="I40" i="20"/>
  <c r="O40" i="20" s="1" a="1"/>
  <c r="O40" i="20" s="1"/>
  <c r="I41" i="20"/>
  <c r="O41" i="20" s="1" a="1"/>
  <c r="O41" i="20" s="1"/>
  <c r="I42" i="20"/>
  <c r="O42" i="20" s="1" a="1"/>
  <c r="O42" i="20" s="1"/>
  <c r="I43" i="20"/>
  <c r="O43" i="20" s="1" a="1"/>
  <c r="O43" i="20" s="1"/>
  <c r="I44" i="20"/>
  <c r="O44" i="20" s="1" a="1"/>
  <c r="O44" i="20" s="1"/>
  <c r="I45" i="20"/>
  <c r="O45" i="20" s="1" a="1"/>
  <c r="O45" i="20" s="1"/>
  <c r="I46" i="20"/>
  <c r="O46" i="20" s="1" a="1"/>
  <c r="O46" i="20" s="1"/>
  <c r="I47" i="20"/>
  <c r="O47" i="20" s="1" a="1"/>
  <c r="O47" i="20" s="1"/>
  <c r="I48" i="20"/>
  <c r="O48" i="20" s="1" a="1"/>
  <c r="O48" i="20" s="1"/>
  <c r="I49" i="20"/>
  <c r="O49" i="20" s="1" a="1"/>
  <c r="O49" i="20" s="1"/>
  <c r="I50" i="20"/>
  <c r="O50" i="20" s="1" a="1"/>
  <c r="O50" i="20" s="1"/>
  <c r="I51" i="20"/>
  <c r="O51" i="20" s="1" a="1"/>
  <c r="O51" i="20" s="1"/>
  <c r="I52" i="20"/>
  <c r="O52" i="20" s="1" a="1"/>
  <c r="O52" i="20" s="1"/>
  <c r="I53" i="20"/>
  <c r="O53" i="20" s="1" a="1"/>
  <c r="O53" i="20" s="1"/>
  <c r="I54" i="20"/>
  <c r="I55" i="20"/>
  <c r="O55" i="20" s="1" a="1"/>
  <c r="O55" i="20" s="1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K72" i="20" s="1" a="1"/>
  <c r="K72" i="20" s="1"/>
  <c r="I73" i="20"/>
  <c r="K73" i="20" s="1" a="1"/>
  <c r="K73" i="20" s="1"/>
  <c r="I74" i="20"/>
  <c r="K74" i="20" s="1" a="1"/>
  <c r="K74" i="20" s="1"/>
  <c r="I75" i="20"/>
  <c r="K75" i="20" s="1" a="1"/>
  <c r="K75" i="20" s="1"/>
  <c r="I76" i="20"/>
  <c r="K76" i="20" s="1" a="1"/>
  <c r="K76" i="20" s="1"/>
  <c r="I77" i="20"/>
  <c r="K77" i="20" s="1" a="1"/>
  <c r="K77" i="20" s="1"/>
  <c r="I78" i="20"/>
  <c r="K78" i="20" s="1" a="1"/>
  <c r="K78" i="20" s="1"/>
  <c r="I79" i="20"/>
  <c r="K79" i="20" s="1" a="1"/>
  <c r="K79" i="20" s="1"/>
  <c r="I80" i="20"/>
  <c r="K80" i="20" s="1" a="1"/>
  <c r="K80" i="20" s="1"/>
  <c r="I81" i="20"/>
  <c r="K81" i="20" s="1" a="1"/>
  <c r="K81" i="20" s="1"/>
  <c r="I82" i="20"/>
  <c r="K82" i="20" s="1" a="1"/>
  <c r="K82" i="20" s="1"/>
  <c r="I83" i="20"/>
  <c r="K83" i="20" s="1" a="1"/>
  <c r="K83" i="20" s="1"/>
  <c r="I84" i="20"/>
  <c r="K84" i="20" s="1" a="1"/>
  <c r="K84" i="20" s="1"/>
  <c r="I85" i="20"/>
  <c r="K85" i="20" s="1" a="1"/>
  <c r="K85" i="20" s="1"/>
  <c r="I86" i="20"/>
  <c r="K86" i="20" s="1" a="1"/>
  <c r="K86" i="20" s="1"/>
  <c r="I87" i="20"/>
  <c r="K87" i="20" s="1" a="1"/>
  <c r="K87" i="20" s="1"/>
  <c r="I88" i="20"/>
  <c r="K88" i="20" s="1" a="1"/>
  <c r="K88" i="20" s="1"/>
  <c r="I89" i="20"/>
  <c r="K89" i="20" s="1" a="1"/>
  <c r="K89" i="20" s="1"/>
  <c r="I90" i="20"/>
  <c r="K90" i="20" s="1" a="1"/>
  <c r="K90" i="20" s="1"/>
  <c r="I91" i="20"/>
  <c r="K91" i="20" s="1" a="1"/>
  <c r="K91" i="20" s="1"/>
  <c r="I92" i="20"/>
  <c r="K92" i="20" s="1" a="1"/>
  <c r="K92" i="20" s="1"/>
  <c r="I93" i="20"/>
  <c r="K93" i="20" s="1" a="1"/>
  <c r="K93" i="20" s="1"/>
  <c r="I94" i="20"/>
  <c r="K94" i="20" s="1" a="1"/>
  <c r="K94" i="20" s="1"/>
  <c r="I95" i="20"/>
  <c r="K95" i="20" s="1" a="1"/>
  <c r="K95" i="20" s="1"/>
  <c r="I96" i="20"/>
  <c r="K96" i="20" s="1" a="1"/>
  <c r="K96" i="20" s="1"/>
  <c r="I97" i="20"/>
  <c r="K97" i="20" s="1" a="1"/>
  <c r="K97" i="20" s="1"/>
  <c r="I98" i="20"/>
  <c r="K98" i="20" s="1" a="1"/>
  <c r="K98" i="20" s="1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K2" i="20" a="1"/>
  <c r="K2" i="20" s="1"/>
  <c r="K3" i="20" a="1"/>
  <c r="K3" i="20" s="1"/>
  <c r="K4" i="20" a="1"/>
  <c r="K4" i="20" s="1"/>
  <c r="K5" i="20" a="1"/>
  <c r="K5" i="20" s="1"/>
  <c r="K6" i="20" a="1"/>
  <c r="K6" i="20" s="1"/>
  <c r="K7" i="20" a="1"/>
  <c r="K7" i="20" s="1"/>
  <c r="K8" i="20" a="1"/>
  <c r="K8" i="20" s="1"/>
  <c r="K9" i="20" a="1"/>
  <c r="K9" i="20" s="1"/>
  <c r="K10" i="20" a="1"/>
  <c r="K10" i="20" s="1"/>
  <c r="K11" i="20" a="1"/>
  <c r="K11" i="20" s="1"/>
  <c r="K12" i="20" a="1"/>
  <c r="K12" i="20" s="1"/>
  <c r="K13" i="20" a="1"/>
  <c r="K13" i="20" s="1"/>
  <c r="K14" i="20" a="1"/>
  <c r="K14" i="20" s="1"/>
  <c r="K15" i="20" a="1"/>
  <c r="K15" i="20" s="1"/>
  <c r="K16" i="20" a="1"/>
  <c r="K16" i="20" s="1"/>
  <c r="K17" i="20" a="1"/>
  <c r="K17" i="20" s="1"/>
  <c r="K18" i="20" a="1"/>
  <c r="K18" i="20" s="1"/>
  <c r="K19" i="20" a="1"/>
  <c r="K19" i="20" s="1"/>
  <c r="K20" i="20" a="1"/>
  <c r="K20" i="20" s="1"/>
  <c r="K21" i="20" a="1"/>
  <c r="K21" i="20" s="1"/>
  <c r="K22" i="20" a="1"/>
  <c r="K22" i="20" s="1"/>
  <c r="K23" i="20" a="1"/>
  <c r="K23" i="20" s="1"/>
  <c r="K24" i="20" a="1"/>
  <c r="K24" i="20" s="1"/>
  <c r="K25" i="20" a="1"/>
  <c r="K25" i="20" s="1"/>
  <c r="K26" i="20" a="1"/>
  <c r="K26" i="20" s="1"/>
  <c r="K27" i="20" a="1"/>
  <c r="K27" i="20" s="1"/>
  <c r="K28" i="20" a="1"/>
  <c r="K28" i="20" s="1"/>
  <c r="K29" i="20" a="1"/>
  <c r="K29" i="20" s="1"/>
  <c r="K30" i="20" a="1"/>
  <c r="K30" i="20" s="1"/>
  <c r="K31" i="20" a="1"/>
  <c r="K31" i="20" s="1"/>
  <c r="K32" i="20" a="1"/>
  <c r="K32" i="20" s="1"/>
  <c r="K33" i="20" a="1"/>
  <c r="K33" i="20" s="1"/>
  <c r="K34" i="20" a="1"/>
  <c r="K34" i="20" s="1"/>
  <c r="K35" i="20" a="1"/>
  <c r="K35" i="20" s="1"/>
  <c r="K36" i="20" a="1"/>
  <c r="K36" i="20" s="1"/>
  <c r="K37" i="20" a="1"/>
  <c r="K37" i="20" s="1"/>
  <c r="K38" i="20" a="1"/>
  <c r="K38" i="20" s="1"/>
  <c r="K39" i="20" a="1"/>
  <c r="K39" i="20" s="1"/>
  <c r="K40" i="20" a="1"/>
  <c r="K40" i="20" s="1"/>
  <c r="K41" i="20" a="1"/>
  <c r="K41" i="20" s="1"/>
  <c r="K42" i="20" a="1"/>
  <c r="K42" i="20" s="1"/>
  <c r="K43" i="20" a="1"/>
  <c r="K43" i="20" s="1"/>
  <c r="K44" i="20" a="1"/>
  <c r="K44" i="20" s="1"/>
  <c r="K45" i="20" a="1"/>
  <c r="K45" i="20" s="1"/>
  <c r="K46" i="20" a="1"/>
  <c r="K46" i="20" s="1"/>
  <c r="K47" i="20" a="1"/>
  <c r="K47" i="20" s="1"/>
  <c r="K48" i="20" a="1"/>
  <c r="K48" i="20" s="1"/>
  <c r="K49" i="20" a="1"/>
  <c r="K49" i="20" s="1"/>
  <c r="K50" i="20" a="1"/>
  <c r="K50" i="20" s="1"/>
  <c r="K51" i="20" a="1"/>
  <c r="K51" i="20" s="1"/>
  <c r="K52" i="20" a="1"/>
  <c r="K52" i="20" s="1"/>
  <c r="K53" i="20" a="1"/>
  <c r="K53" i="20" s="1"/>
  <c r="K54" i="20" a="1"/>
  <c r="K54" i="20" s="1"/>
  <c r="K55" i="20" a="1"/>
  <c r="K55" i="20" s="1"/>
  <c r="K56" i="20" a="1"/>
  <c r="K56" i="20" s="1"/>
  <c r="K57" i="20" a="1"/>
  <c r="K57" i="20" s="1"/>
  <c r="K58" i="20" a="1"/>
  <c r="K58" i="20" s="1"/>
  <c r="K59" i="20" a="1"/>
  <c r="K59" i="20" s="1"/>
  <c r="K60" i="20" a="1"/>
  <c r="K60" i="20" s="1"/>
  <c r="K61" i="20" a="1"/>
  <c r="K61" i="20" s="1"/>
  <c r="K62" i="20" a="1"/>
  <c r="K62" i="20" s="1"/>
  <c r="K63" i="20" a="1"/>
  <c r="K63" i="20" s="1"/>
  <c r="K64" i="20" a="1"/>
  <c r="K64" i="20" s="1"/>
  <c r="K65" i="20" a="1"/>
  <c r="K65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1" i="20" a="1"/>
  <c r="K71" i="20" s="1"/>
  <c r="K100" i="20" a="1"/>
  <c r="K100" i="20" s="1"/>
  <c r="K101" i="20" a="1"/>
  <c r="K101" i="20" s="1"/>
  <c r="K102" i="20" a="1"/>
  <c r="K102" i="20" s="1"/>
  <c r="K103" i="20" a="1"/>
  <c r="K103" i="20" s="1"/>
  <c r="K104" i="20" a="1"/>
  <c r="K104" i="20" s="1"/>
  <c r="K105" i="20" a="1"/>
  <c r="K105" i="20" s="1"/>
  <c r="K106" i="20" a="1"/>
  <c r="K106" i="20" s="1"/>
  <c r="K107" i="20" a="1"/>
  <c r="K107" i="20" s="1"/>
  <c r="K108" i="20" a="1"/>
  <c r="K108" i="20" s="1"/>
  <c r="K109" i="20" a="1"/>
  <c r="K109" i="20" s="1"/>
  <c r="K110" i="20" a="1"/>
  <c r="K110" i="20" s="1"/>
  <c r="K111" i="20" a="1"/>
  <c r="K111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7" i="20" a="1"/>
  <c r="K117" i="20" s="1"/>
  <c r="K118" i="20" a="1"/>
  <c r="K118" i="20" s="1"/>
  <c r="K119" i="20" a="1"/>
  <c r="K119" i="20" s="1"/>
  <c r="K120" i="20" a="1"/>
  <c r="K120" i="20" s="1"/>
  <c r="K121" i="20" a="1"/>
  <c r="K121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L7" i="20" a="1"/>
  <c r="L7" i="20" s="1"/>
  <c r="L8" i="20" a="1"/>
  <c r="L8" i="20" s="1"/>
  <c r="L9" i="20" a="1"/>
  <c r="L9" i="20" s="1"/>
  <c r="L10" i="20" a="1"/>
  <c r="L10" i="20" s="1"/>
  <c r="L11" i="20" a="1"/>
  <c r="L11" i="20" s="1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21" i="20" a="1"/>
  <c r="L21" i="20" s="1"/>
  <c r="L22" i="20" a="1"/>
  <c r="L22" i="20" s="1"/>
  <c r="L23" i="20" a="1"/>
  <c r="L23" i="20" s="1"/>
  <c r="L24" i="20" a="1"/>
  <c r="L24" i="20" s="1"/>
  <c r="L25" i="20" a="1"/>
  <c r="L25" i="20" s="1"/>
  <c r="L26" i="20" a="1"/>
  <c r="L26" i="20" s="1"/>
  <c r="L27" i="20" a="1"/>
  <c r="L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L36" i="20" a="1"/>
  <c r="L36" i="20" s="1"/>
  <c r="L37" i="20" a="1"/>
  <c r="L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 s="1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 s="1"/>
  <c r="L52" i="20" a="1"/>
  <c r="L52" i="20" s="1"/>
  <c r="L53" i="20" a="1"/>
  <c r="L53" i="20" s="1"/>
  <c r="L54" i="20" a="1"/>
  <c r="L54" i="20" s="1"/>
  <c r="L55" i="20" a="1"/>
  <c r="L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 s="1"/>
  <c r="L68" i="20" a="1"/>
  <c r="L68" i="20" s="1"/>
  <c r="L69" i="20" a="1"/>
  <c r="L69" i="20" s="1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 s="1"/>
  <c r="L84" i="20" a="1"/>
  <c r="L84" i="20" s="1"/>
  <c r="L85" i="20" a="1"/>
  <c r="L85" i="20" s="1"/>
  <c r="L86" i="20" a="1"/>
  <c r="L86" i="20" s="1"/>
  <c r="L87" i="20" a="1"/>
  <c r="L87" i="20" s="1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 s="1"/>
  <c r="L100" i="20" a="1"/>
  <c r="L100" i="20" s="1"/>
  <c r="L101" i="20" a="1"/>
  <c r="L101" i="20" s="1"/>
  <c r="L102" i="20" a="1"/>
  <c r="L102" i="20" s="1"/>
  <c r="L103" i="20" a="1"/>
  <c r="L103" i="20" s="1"/>
  <c r="L104" i="20" a="1"/>
  <c r="L104" i="20" s="1"/>
  <c r="L105" i="20" a="1"/>
  <c r="L105" i="20" s="1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 s="1"/>
  <c r="L118" i="20" a="1"/>
  <c r="L118" i="20" s="1"/>
  <c r="L119" i="20" a="1"/>
  <c r="L119" i="20" s="1"/>
  <c r="L120" i="20" a="1"/>
  <c r="L120" i="20" s="1"/>
  <c r="L121" i="20" a="1"/>
  <c r="L121" i="20" s="1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N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 s="1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 s="1"/>
  <c r="M29" i="20" a="1"/>
  <c r="M29" i="20" s="1"/>
  <c r="M30" i="20" a="1"/>
  <c r="M30" i="20" s="1"/>
  <c r="M31" i="20" a="1"/>
  <c r="M31" i="20" s="1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 s="1"/>
  <c r="M46" i="20" a="1"/>
  <c r="M46" i="20" s="1"/>
  <c r="M47" i="20" a="1"/>
  <c r="M47" i="20" s="1"/>
  <c r="M48" i="20" a="1"/>
  <c r="M48" i="20" s="1"/>
  <c r="M49" i="20" a="1"/>
  <c r="M49" i="20" s="1"/>
  <c r="M50" i="20" a="1"/>
  <c r="M50" i="20" s="1"/>
  <c r="M51" i="20" a="1"/>
  <c r="M51" i="20" s="1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 s="1"/>
  <c r="M61" i="20" a="1"/>
  <c r="M61" i="20" s="1"/>
  <c r="M62" i="20" a="1"/>
  <c r="M62" i="20" s="1"/>
  <c r="M63" i="20" a="1"/>
  <c r="M63" i="20" s="1"/>
  <c r="M64" i="20" a="1"/>
  <c r="M64" i="20" s="1"/>
  <c r="M65" i="20" a="1"/>
  <c r="M65" i="20" s="1"/>
  <c r="M66" i="20" a="1"/>
  <c r="M66" i="20" s="1"/>
  <c r="M67" i="20" a="1"/>
  <c r="M67" i="20" s="1"/>
  <c r="M68" i="20" a="1"/>
  <c r="M68" i="20" s="1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 s="1"/>
  <c r="M77" i="20" a="1"/>
  <c r="M77" i="20" s="1"/>
  <c r="M78" i="20" a="1"/>
  <c r="M78" i="20" s="1"/>
  <c r="M79" i="20" a="1"/>
  <c r="M79" i="20" s="1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 s="1"/>
  <c r="M93" i="20" a="1"/>
  <c r="M93" i="20" s="1"/>
  <c r="M94" i="20" a="1"/>
  <c r="M94" i="20" s="1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 s="1"/>
  <c r="M113" i="20" a="1"/>
  <c r="M113" i="20" s="1"/>
  <c r="M114" i="20" a="1"/>
  <c r="M114" i="20" s="1"/>
  <c r="M115" i="20" a="1"/>
  <c r="M115" i="20" s="1"/>
  <c r="M116" i="20" a="1"/>
  <c r="M116" i="20" s="1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O2" i="20" a="1"/>
  <c r="O2" i="20" s="1"/>
  <c r="O3" i="20" a="1"/>
  <c r="O3" i="20" s="1"/>
  <c r="O4" i="20" a="1"/>
  <c r="O4" i="20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58" i="20" a="1"/>
  <c r="O58" i="20"/>
  <c r="O59" i="20" a="1"/>
  <c r="O59" i="20"/>
  <c r="O60" i="20" a="1"/>
  <c r="O60" i="20"/>
  <c r="O61" i="20" a="1"/>
  <c r="O61" i="20"/>
  <c r="O62" i="20" a="1"/>
  <c r="O62" i="20"/>
  <c r="O63" i="20" a="1"/>
  <c r="O63" i="20"/>
  <c r="O64" i="20" a="1"/>
  <c r="O64" i="20"/>
  <c r="O65" i="20" a="1"/>
  <c r="O65" i="20"/>
  <c r="O66" i="20" a="1"/>
  <c r="O66" i="20"/>
  <c r="O67" i="20" a="1"/>
  <c r="O67" i="20"/>
  <c r="O68" i="20" a="1"/>
  <c r="O68" i="20"/>
  <c r="O69" i="20" a="1"/>
  <c r="O69" i="20"/>
  <c r="O70" i="20" a="1"/>
  <c r="O70" i="20"/>
  <c r="O71" i="20" a="1"/>
  <c r="O71" i="20"/>
  <c r="O72" i="20" a="1"/>
  <c r="O72" i="20"/>
  <c r="O73" i="20" a="1"/>
  <c r="O73" i="20"/>
  <c r="O74" i="20" a="1"/>
  <c r="O74" i="20"/>
  <c r="O75" i="20" a="1"/>
  <c r="O75" i="20"/>
  <c r="O76" i="20" a="1"/>
  <c r="O76" i="20"/>
  <c r="O77" i="20" a="1"/>
  <c r="O77" i="20"/>
  <c r="O78" i="20" a="1"/>
  <c r="O78" i="20"/>
  <c r="O79" i="20" a="1"/>
  <c r="O79" i="20"/>
  <c r="O80" i="20" a="1"/>
  <c r="O80" i="20" s="1"/>
  <c r="O81" i="20" a="1"/>
  <c r="O81" i="20" s="1"/>
  <c r="O82" i="20" a="1"/>
  <c r="O82" i="20" s="1"/>
  <c r="O83" i="20" a="1"/>
  <c r="O83" i="20" s="1"/>
  <c r="O84" i="20" a="1"/>
  <c r="O84" i="20" s="1"/>
  <c r="O85" i="20" a="1"/>
  <c r="O85" i="20" s="1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 s="1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 s="1"/>
  <c r="O102" i="20" a="1"/>
  <c r="O102" i="20" s="1"/>
  <c r="O103" i="20" a="1"/>
  <c r="O103" i="20" s="1"/>
  <c r="O104" i="20" a="1"/>
  <c r="O104" i="20" s="1"/>
  <c r="O105" i="20" a="1"/>
  <c r="O105" i="20" s="1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 s="1"/>
  <c r="O118" i="20" a="1"/>
  <c r="O118" i="20" s="1"/>
  <c r="O119" i="20" a="1"/>
  <c r="O119" i="20" s="1"/>
  <c r="O120" i="20" a="1"/>
  <c r="O120" i="20" s="1"/>
  <c r="O121" i="20" a="1"/>
  <c r="O121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 s="1"/>
  <c r="P12" i="20" a="1"/>
  <c r="P12" i="20" s="1"/>
  <c r="P13" i="20" a="1"/>
  <c r="P13" i="20" s="1"/>
  <c r="P14" i="20" a="1"/>
  <c r="P14" i="20" s="1"/>
  <c r="P15" i="20" a="1"/>
  <c r="P15" i="20" s="1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 s="1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 s="1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 s="1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 s="1"/>
  <c r="P60" i="20" a="1"/>
  <c r="P60" i="20" s="1"/>
  <c r="P61" i="20" a="1"/>
  <c r="P61" i="20" s="1"/>
  <c r="P62" i="20" a="1"/>
  <c r="P62" i="20" s="1"/>
  <c r="P63" i="20" a="1"/>
  <c r="P63" i="20" s="1"/>
  <c r="P64" i="20" a="1"/>
  <c r="P64" i="20" s="1"/>
  <c r="P65" i="20" a="1"/>
  <c r="P65" i="20" s="1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 s="1"/>
  <c r="P72" i="20" a="1"/>
  <c r="P72" i="20" s="1"/>
  <c r="P73" i="20" a="1"/>
  <c r="P73" i="20" s="1"/>
  <c r="P74" i="20" a="1"/>
  <c r="P74" i="20" s="1"/>
  <c r="P75" i="20" a="1"/>
  <c r="P75" i="20" s="1"/>
  <c r="P76" i="20" a="1"/>
  <c r="P76" i="20" s="1"/>
  <c r="P77" i="20" a="1"/>
  <c r="P77" i="20" s="1"/>
  <c r="P78" i="20" a="1"/>
  <c r="P78" i="20" s="1"/>
  <c r="P79" i="20" a="1"/>
  <c r="P79" i="20" s="1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 s="1"/>
  <c r="P92" i="20" a="1"/>
  <c r="P92" i="20" s="1"/>
  <c r="P93" i="20" a="1"/>
  <c r="P93" i="20" s="1"/>
  <c r="P94" i="20" a="1"/>
  <c r="P94" i="20" s="1"/>
  <c r="P95" i="20" a="1"/>
  <c r="P95" i="20" s="1"/>
  <c r="P96" i="20" a="1"/>
  <c r="P96" i="20" s="1"/>
  <c r="P97" i="20" a="1"/>
  <c r="P97" i="20" s="1"/>
  <c r="P98" i="20" a="1"/>
  <c r="P98" i="20" s="1"/>
  <c r="P99" i="20" a="1"/>
  <c r="P99" i="20" s="1"/>
  <c r="P100" i="20" a="1"/>
  <c r="P100" i="20" s="1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 s="1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 s="1"/>
  <c r="P113" i="20" a="1"/>
  <c r="P113" i="20" s="1"/>
  <c r="P114" i="20" a="1"/>
  <c r="P114" i="20" s="1"/>
  <c r="P115" i="20" a="1"/>
  <c r="P115" i="20" s="1"/>
  <c r="P116" i="20" a="1"/>
  <c r="P116" i="20" s="1"/>
  <c r="P117" i="20" a="1"/>
  <c r="P117" i="20" s="1"/>
  <c r="P118" i="20" a="1"/>
  <c r="P118" i="20" s="1"/>
  <c r="P119" i="20" a="1"/>
  <c r="P119" i="20" s="1"/>
  <c r="P120" i="20" a="1"/>
  <c r="P120" i="20" s="1"/>
  <c r="P121" i="20" a="1"/>
  <c r="P121" i="20" s="1"/>
  <c r="M2" i="18"/>
  <c r="P60" i="18" s="1" a="1"/>
  <c r="P60" i="18" s="1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S3" i="18" s="1" a="1"/>
  <c r="S3" i="18" s="1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P61" i="18" s="1" a="1"/>
  <c r="P61" i="18" s="1"/>
  <c r="M62" i="18"/>
  <c r="P62" i="18" s="1" a="1"/>
  <c r="P62" i="18" s="1"/>
  <c r="M63" i="18"/>
  <c r="P63" i="18" s="1" a="1"/>
  <c r="P63" i="18" s="1"/>
  <c r="M64" i="18"/>
  <c r="P64" i="18" s="1" a="1"/>
  <c r="P64" i="18" s="1"/>
  <c r="M65" i="18"/>
  <c r="P65" i="18" s="1" a="1"/>
  <c r="P65" i="18" s="1"/>
  <c r="M66" i="18"/>
  <c r="P66" i="18" s="1" a="1"/>
  <c r="P66" i="18" s="1"/>
  <c r="M67" i="18"/>
  <c r="P67" i="18" s="1" a="1"/>
  <c r="P67" i="18" s="1"/>
  <c r="M68" i="18"/>
  <c r="P68" i="18" s="1" a="1"/>
  <c r="P68" i="18" s="1"/>
  <c r="M69" i="18"/>
  <c r="P69" i="18" s="1" a="1"/>
  <c r="P69" i="18" s="1"/>
  <c r="M70" i="18"/>
  <c r="M71" i="18"/>
  <c r="P71" i="18" s="1" a="1"/>
  <c r="P71" i="18" s="1"/>
  <c r="M72" i="18"/>
  <c r="P72" i="18" s="1" a="1"/>
  <c r="P72" i="18" s="1"/>
  <c r="M73" i="18"/>
  <c r="P73" i="18" s="1" a="1"/>
  <c r="P73" i="18" s="1"/>
  <c r="M74" i="18"/>
  <c r="P74" i="18" s="1" a="1"/>
  <c r="P74" i="18" s="1"/>
  <c r="M75" i="18"/>
  <c r="P75" i="18" s="1" a="1"/>
  <c r="P75" i="18" s="1"/>
  <c r="M76" i="18"/>
  <c r="P76" i="18" s="1" a="1"/>
  <c r="P76" i="18" s="1"/>
  <c r="M77" i="18"/>
  <c r="M78" i="18"/>
  <c r="M79" i="18"/>
  <c r="M80" i="18"/>
  <c r="T80" i="18" s="1" a="1"/>
  <c r="T80" i="18" s="1"/>
  <c r="M81" i="18"/>
  <c r="T81" i="18" s="1" a="1"/>
  <c r="T81" i="18" s="1"/>
  <c r="M82" i="18"/>
  <c r="T82" i="18" s="1" a="1"/>
  <c r="T82" i="18" s="1"/>
  <c r="M83" i="18"/>
  <c r="T83" i="18" s="1" a="1"/>
  <c r="T83" i="18" s="1"/>
  <c r="M84" i="18"/>
  <c r="T84" i="18" s="1" a="1"/>
  <c r="T84" i="18" s="1"/>
  <c r="M85" i="18"/>
  <c r="T85" i="18" s="1" a="1"/>
  <c r="T85" i="18" s="1"/>
  <c r="M86" i="18"/>
  <c r="M87" i="18"/>
  <c r="M88" i="18"/>
  <c r="M89" i="18"/>
  <c r="M90" i="18"/>
  <c r="M91" i="18"/>
  <c r="M92" i="18"/>
  <c r="M93" i="18"/>
  <c r="M94" i="18"/>
  <c r="M95" i="18"/>
  <c r="M96" i="18"/>
  <c r="T96" i="18" s="1" a="1"/>
  <c r="T96" i="18" s="1"/>
  <c r="M97" i="18"/>
  <c r="T97" i="18" s="1" a="1"/>
  <c r="T97" i="18" s="1"/>
  <c r="M98" i="18"/>
  <c r="T98" i="18" s="1" a="1"/>
  <c r="T98" i="18" s="1"/>
  <c r="M99" i="18"/>
  <c r="T99" i="18" s="1" a="1"/>
  <c r="T99" i="18" s="1"/>
  <c r="M100" i="18"/>
  <c r="T100" i="18" s="1" a="1"/>
  <c r="T100" i="18" s="1"/>
  <c r="M101" i="18"/>
  <c r="T101" i="18" s="1" a="1"/>
  <c r="T101" i="18" s="1"/>
  <c r="M102" i="18"/>
  <c r="T102" i="18" s="1" a="1"/>
  <c r="T102" i="18" s="1"/>
  <c r="M103" i="18"/>
  <c r="T103" i="18" s="1" a="1"/>
  <c r="T103" i="18" s="1"/>
  <c r="M104" i="18"/>
  <c r="T104" i="18" s="1" a="1"/>
  <c r="T104" i="18" s="1"/>
  <c r="M105" i="18"/>
  <c r="T105" i="18" s="1" a="1"/>
  <c r="T105" i="18" s="1"/>
  <c r="M106" i="18"/>
  <c r="T106" i="18" s="1" a="1"/>
  <c r="T106" i="18" s="1"/>
  <c r="M107" i="18"/>
  <c r="T107" i="18" s="1" a="1"/>
  <c r="T107" i="18" s="1"/>
  <c r="M108" i="18"/>
  <c r="T108" i="18" s="1" a="1"/>
  <c r="T108" i="18" s="1"/>
  <c r="M109" i="18"/>
  <c r="T109" i="18" s="1" a="1"/>
  <c r="T109" i="18" s="1"/>
  <c r="M110" i="18"/>
  <c r="T110" i="18" s="1" a="1"/>
  <c r="T110" i="18" s="1"/>
  <c r="M111" i="18"/>
  <c r="T111" i="18" s="1" a="1"/>
  <c r="T111" i="18" s="1"/>
  <c r="M112" i="18"/>
  <c r="T112" i="18" s="1" a="1"/>
  <c r="T112" i="18" s="1"/>
  <c r="M113" i="18"/>
  <c r="T113" i="18" s="1" a="1"/>
  <c r="T113" i="18" s="1"/>
  <c r="M114" i="18"/>
  <c r="T114" i="18" s="1" a="1"/>
  <c r="T114" i="18" s="1"/>
  <c r="M115" i="18"/>
  <c r="T115" i="18" s="1" a="1"/>
  <c r="T115" i="18" s="1"/>
  <c r="M116" i="18"/>
  <c r="T116" i="18" s="1" a="1"/>
  <c r="T116" i="18" s="1"/>
  <c r="M117" i="18"/>
  <c r="T117" i="18" s="1" a="1"/>
  <c r="T117" i="18" s="1"/>
  <c r="M118" i="18"/>
  <c r="T118" i="18" s="1" a="1"/>
  <c r="T118" i="18" s="1"/>
  <c r="M119" i="18"/>
  <c r="T119" i="18" s="1" a="1"/>
  <c r="T119" i="18" s="1"/>
  <c r="M120" i="18"/>
  <c r="T120" i="18" s="1" a="1"/>
  <c r="T120" i="18" s="1"/>
  <c r="M121" i="18"/>
  <c r="M122" i="18"/>
  <c r="T122" i="18" s="1" a="1"/>
  <c r="T122" i="18" s="1"/>
  <c r="M123" i="18"/>
  <c r="T123" i="18" s="1" a="1"/>
  <c r="T123" i="18" s="1"/>
  <c r="M124" i="18"/>
  <c r="T124" i="18" s="1" a="1"/>
  <c r="T124" i="18" s="1"/>
  <c r="M125" i="18"/>
  <c r="M126" i="18"/>
  <c r="M127" i="18"/>
  <c r="T127" i="18" s="1" a="1"/>
  <c r="T127" i="18" s="1"/>
  <c r="M128" i="18"/>
  <c r="T128" i="18" s="1" a="1"/>
  <c r="T128" i="18" s="1"/>
  <c r="M129" i="18"/>
  <c r="M130" i="18"/>
  <c r="T130" i="18" s="1" a="1"/>
  <c r="T130" i="18" s="1"/>
  <c r="M131" i="18"/>
  <c r="T131" i="18" s="1" a="1"/>
  <c r="T131" i="18" s="1"/>
  <c r="M132" i="18"/>
  <c r="T132" i="18" s="1" a="1"/>
  <c r="T132" i="18" s="1"/>
  <c r="M133" i="18"/>
  <c r="T133" i="18" s="1" a="1"/>
  <c r="T133" i="18" s="1"/>
  <c r="M134" i="18"/>
  <c r="T134" i="18" s="1" a="1"/>
  <c r="T134" i="18" s="1"/>
  <c r="M135" i="18"/>
  <c r="T135" i="18" s="1" a="1"/>
  <c r="T135" i="18" s="1"/>
  <c r="M136" i="18"/>
  <c r="T136" i="18" s="1" a="1"/>
  <c r="T136" i="18" s="1"/>
  <c r="M137" i="18"/>
  <c r="T137" i="18" s="1" a="1"/>
  <c r="T137" i="18" s="1"/>
  <c r="M138" i="18"/>
  <c r="T138" i="18" s="1" a="1"/>
  <c r="T138" i="18" s="1"/>
  <c r="M139" i="18"/>
  <c r="T139" i="18" s="1" a="1"/>
  <c r="T139" i="18" s="1"/>
  <c r="M140" i="18"/>
  <c r="T140" i="18" s="1" a="1"/>
  <c r="T140" i="18" s="1"/>
  <c r="M141" i="18"/>
  <c r="T141" i="18" s="1" a="1"/>
  <c r="T141" i="18" s="1"/>
  <c r="M142" i="18"/>
  <c r="T142" i="18" s="1" a="1"/>
  <c r="T142" i="18" s="1"/>
  <c r="M143" i="18"/>
  <c r="T143" i="18" s="1" a="1"/>
  <c r="T143" i="18" s="1"/>
  <c r="M144" i="18"/>
  <c r="T144" i="18" s="1" a="1"/>
  <c r="T144" i="18" s="1"/>
  <c r="M145" i="18"/>
  <c r="T145" i="18" s="1" a="1"/>
  <c r="T145" i="18" s="1"/>
  <c r="M146" i="18"/>
  <c r="T146" i="18" s="1" a="1"/>
  <c r="T146" i="18" s="1"/>
  <c r="M147" i="18"/>
  <c r="T147" i="18" s="1" a="1"/>
  <c r="T147" i="18" s="1"/>
  <c r="M148" i="18"/>
  <c r="T148" i="18" s="1" a="1"/>
  <c r="T148" i="18" s="1"/>
  <c r="M149" i="18"/>
  <c r="T149" i="18" s="1" a="1"/>
  <c r="T149" i="18" s="1"/>
  <c r="M150" i="18"/>
  <c r="T150" i="18" s="1" a="1"/>
  <c r="T150" i="18" s="1"/>
  <c r="M151" i="18"/>
  <c r="T151" i="18" s="1" a="1"/>
  <c r="T151" i="18" s="1"/>
  <c r="N2" i="18" a="1"/>
  <c r="N2" i="18" s="1"/>
  <c r="N3" i="18" a="1"/>
  <c r="N3" i="18" s="1"/>
  <c r="N4" i="18" a="1"/>
  <c r="N4" i="18" s="1"/>
  <c r="N5" i="18" a="1"/>
  <c r="N5" i="18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 s="1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6" i="18" a="1"/>
  <c r="O26" i="18" s="1"/>
  <c r="O27" i="18" a="1"/>
  <c r="O27" i="18" s="1"/>
  <c r="O28" i="18" a="1"/>
  <c r="O28" i="18" s="1"/>
  <c r="O29" i="18" a="1"/>
  <c r="O29" i="18" s="1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 s="1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 s="1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 s="1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 s="1"/>
  <c r="O94" i="18" a="1"/>
  <c r="O94" i="18" s="1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30" i="18" a="1"/>
  <c r="P130" i="18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 s="1"/>
  <c r="P148" i="18" a="1"/>
  <c r="P148" i="18" s="1"/>
  <c r="P149" i="18" a="1"/>
  <c r="P149" i="18" s="1"/>
  <c r="P150" i="18" a="1"/>
  <c r="P150" i="18" s="1"/>
  <c r="P151" i="18" a="1"/>
  <c r="P151" i="18" s="1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Q19" i="18" a="1"/>
  <c r="Q19" i="18"/>
  <c r="Q20" i="18" a="1"/>
  <c r="Q20" i="18"/>
  <c r="Q21" i="18" a="1"/>
  <c r="Q21" i="18"/>
  <c r="Q22" i="18" a="1"/>
  <c r="Q22" i="18"/>
  <c r="Q23" i="18" a="1"/>
  <c r="Q23" i="18"/>
  <c r="Q24" i="18" a="1"/>
  <c r="Q24" i="18" s="1"/>
  <c r="Q25" i="18" a="1"/>
  <c r="Q25" i="18" s="1"/>
  <c r="Q26" i="18" a="1"/>
  <c r="Q26" i="18" s="1"/>
  <c r="Q27" i="18" a="1"/>
  <c r="Q27" i="18" s="1"/>
  <c r="Q28" i="18" a="1"/>
  <c r="Q28" i="18" s="1"/>
  <c r="Q29" i="18" a="1"/>
  <c r="Q29" i="18" s="1"/>
  <c r="Q30" i="18" a="1"/>
  <c r="Q30" i="18" s="1"/>
  <c r="Q31" i="18" a="1"/>
  <c r="Q31" i="18" s="1"/>
  <c r="Q32" i="18" a="1"/>
  <c r="Q32" i="18" s="1"/>
  <c r="Q33" i="18" a="1"/>
  <c r="Q33" i="18" s="1"/>
  <c r="Q34" i="18" a="1"/>
  <c r="Q34" i="18" s="1"/>
  <c r="Q35" i="18" a="1"/>
  <c r="Q35" i="18" s="1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 s="1"/>
  <c r="Q44" i="18" a="1"/>
  <c r="Q44" i="18" s="1"/>
  <c r="Q45" i="18" a="1"/>
  <c r="Q45" i="18" s="1"/>
  <c r="Q46" i="18" a="1"/>
  <c r="Q46" i="18" s="1"/>
  <c r="Q47" i="18" a="1"/>
  <c r="Q47" i="18" s="1"/>
  <c r="Q48" i="18" a="1"/>
  <c r="Q48" i="18" s="1"/>
  <c r="Q49" i="18" a="1"/>
  <c r="Q49" i="18" s="1"/>
  <c r="Q50" i="18" a="1"/>
  <c r="Q50" i="18" s="1"/>
  <c r="Q51" i="18" a="1"/>
  <c r="Q51" i="18" s="1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 s="1"/>
  <c r="Q63" i="18" a="1"/>
  <c r="Q63" i="18" s="1"/>
  <c r="Q64" i="18" a="1"/>
  <c r="Q64" i="18" s="1"/>
  <c r="Q65" i="18" a="1"/>
  <c r="Q65" i="18" s="1"/>
  <c r="Q66" i="18" a="1"/>
  <c r="Q66" i="18" s="1"/>
  <c r="Q67" i="18" a="1"/>
  <c r="Q67" i="18" s="1"/>
  <c r="Q68" i="18" a="1"/>
  <c r="Q68" i="18" s="1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 s="1"/>
  <c r="Q76" i="18" a="1"/>
  <c r="Q76" i="18" s="1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 s="1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 s="1"/>
  <c r="Q92" i="18" a="1"/>
  <c r="Q92" i="18" s="1"/>
  <c r="Q93" i="18" a="1"/>
  <c r="Q93" i="18" s="1"/>
  <c r="Q94" i="18" a="1"/>
  <c r="Q94" i="18" s="1"/>
  <c r="Q95" i="18" a="1"/>
  <c r="Q95" i="18" s="1"/>
  <c r="Q96" i="18" a="1"/>
  <c r="Q96" i="18" s="1"/>
  <c r="Q97" i="18" a="1"/>
  <c r="Q97" i="18" s="1"/>
  <c r="Q98" i="18" a="1"/>
  <c r="Q98" i="18" s="1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 s="1"/>
  <c r="Q108" i="18" a="1"/>
  <c r="Q108" i="18" s="1"/>
  <c r="Q109" i="18" a="1"/>
  <c r="Q109" i="18" s="1"/>
  <c r="Q110" i="18" a="1"/>
  <c r="Q110" i="18" s="1"/>
  <c r="Q111" i="18" a="1"/>
  <c r="Q111" i="18" s="1"/>
  <c r="Q112" i="18" a="1"/>
  <c r="Q112" i="18" s="1"/>
  <c r="Q113" i="18" a="1"/>
  <c r="Q113" i="18" s="1"/>
  <c r="Q114" i="18" a="1"/>
  <c r="Q114" i="18" s="1"/>
  <c r="Q115" i="18" a="1"/>
  <c r="Q115" i="18" s="1"/>
  <c r="Q116" i="18" a="1"/>
  <c r="Q116" i="18" s="1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 s="1"/>
  <c r="Q128" i="18" a="1"/>
  <c r="Q128" i="18" s="1"/>
  <c r="Q129" i="18" a="1"/>
  <c r="Q129" i="18" s="1"/>
  <c r="Q130" i="18" a="1"/>
  <c r="Q130" i="18" s="1"/>
  <c r="Q131" i="18" a="1"/>
  <c r="Q131" i="18" s="1"/>
  <c r="Q132" i="18" a="1"/>
  <c r="Q132" i="18" s="1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 s="1"/>
  <c r="Q141" i="18" a="1"/>
  <c r="Q141" i="18" s="1"/>
  <c r="Q142" i="18" a="1"/>
  <c r="Q142" i="18" s="1"/>
  <c r="Q143" i="18" a="1"/>
  <c r="Q143" i="18" s="1"/>
  <c r="Q144" i="18" a="1"/>
  <c r="Q144" i="18" s="1"/>
  <c r="Q145" i="18" a="1"/>
  <c r="Q145" i="18" s="1"/>
  <c r="Q146" i="18" a="1"/>
  <c r="Q146" i="18" s="1"/>
  <c r="Q147" i="18" a="1"/>
  <c r="Q147" i="18" s="1"/>
  <c r="Q148" i="18" a="1"/>
  <c r="Q148" i="18" s="1"/>
  <c r="Q149" i="18" a="1"/>
  <c r="Q149" i="18"/>
  <c r="Q150" i="18" a="1"/>
  <c r="Q150" i="18"/>
  <c r="Q151" i="18" a="1"/>
  <c r="Q151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S19" i="18" a="1"/>
  <c r="S19" i="18"/>
  <c r="S20" i="18" a="1"/>
  <c r="S20" i="18"/>
  <c r="S21" i="18" a="1"/>
  <c r="S21" i="18"/>
  <c r="S22" i="18" a="1"/>
  <c r="S22" i="18"/>
  <c r="S23" i="18" a="1"/>
  <c r="S23" i="18"/>
  <c r="S24" i="18" a="1"/>
  <c r="S24" i="18" s="1"/>
  <c r="S25" i="18" a="1"/>
  <c r="S25" i="18" s="1"/>
  <c r="S26" i="18" a="1"/>
  <c r="S26" i="18" s="1"/>
  <c r="S27" i="18" a="1"/>
  <c r="S27" i="18" s="1"/>
  <c r="S28" i="18" a="1"/>
  <c r="S28" i="18" s="1"/>
  <c r="S29" i="18" a="1"/>
  <c r="S29" i="18" s="1"/>
  <c r="S30" i="18" a="1"/>
  <c r="S30" i="18" s="1"/>
  <c r="S31" i="18" a="1"/>
  <c r="S31" i="18" s="1"/>
  <c r="S32" i="18" a="1"/>
  <c r="S32" i="18" s="1"/>
  <c r="S33" i="18" a="1"/>
  <c r="S33" i="18" s="1"/>
  <c r="S34" i="18" a="1"/>
  <c r="S34" i="18" s="1"/>
  <c r="S35" i="18" a="1"/>
  <c r="S35" i="18" s="1"/>
  <c r="S36" i="18" a="1"/>
  <c r="S36" i="18" s="1"/>
  <c r="S37" i="18" a="1"/>
  <c r="S37" i="18" s="1"/>
  <c r="S38" i="18" a="1"/>
  <c r="S38" i="18" s="1"/>
  <c r="S39" i="18" a="1"/>
  <c r="S39" i="18" s="1"/>
  <c r="S40" i="18" a="1"/>
  <c r="S40" i="18" s="1"/>
  <c r="S41" i="18" a="1"/>
  <c r="S41" i="18" s="1"/>
  <c r="S42" i="18" a="1"/>
  <c r="S42" i="18" s="1"/>
  <c r="S43" i="18" a="1"/>
  <c r="S43" i="18" s="1"/>
  <c r="S44" i="18" a="1"/>
  <c r="S44" i="18" s="1"/>
  <c r="S45" i="18" a="1"/>
  <c r="S45" i="18" s="1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 s="1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 s="1"/>
  <c r="S61" i="18" a="1"/>
  <c r="S61" i="18" s="1"/>
  <c r="S62" i="18" a="1"/>
  <c r="S62" i="18" s="1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 s="1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 s="1"/>
  <c r="S78" i="18" a="1"/>
  <c r="S78" i="18" s="1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 s="1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 s="1"/>
  <c r="S93" i="18" a="1"/>
  <c r="S93" i="18" s="1"/>
  <c r="S94" i="18" a="1"/>
  <c r="S94" i="18" s="1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 s="1"/>
  <c r="S109" i="18" a="1"/>
  <c r="S109" i="18" s="1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 s="1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 s="1"/>
  <c r="S125" i="18" a="1"/>
  <c r="S125" i="18" s="1"/>
  <c r="S126" i="18" a="1"/>
  <c r="S126" i="18" s="1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 s="1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 s="1"/>
  <c r="S142" i="18" a="1"/>
  <c r="S142" i="18" s="1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 s="1"/>
  <c r="S151" i="18" a="1"/>
  <c r="S151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T8" i="18" a="1"/>
  <c r="T8" i="18" s="1"/>
  <c r="T9" i="18" a="1"/>
  <c r="T9" i="18" s="1"/>
  <c r="T10" i="18" a="1"/>
  <c r="T10" i="18" s="1"/>
  <c r="T11" i="18" a="1"/>
  <c r="T11" i="18" s="1"/>
  <c r="T12" i="18" a="1"/>
  <c r="T12" i="18" s="1"/>
  <c r="T13" i="18" a="1"/>
  <c r="T13" i="18" s="1"/>
  <c r="T14" i="18" a="1"/>
  <c r="T14" i="18" s="1"/>
  <c r="T15" i="18" a="1"/>
  <c r="T15" i="18" s="1"/>
  <c r="T16" i="18" a="1"/>
  <c r="T16" i="18" s="1"/>
  <c r="T17" i="18" a="1"/>
  <c r="T17" i="18" s="1"/>
  <c r="T18" i="18" a="1"/>
  <c r="T18" i="18" s="1"/>
  <c r="T19" i="18" a="1"/>
  <c r="T19" i="18" s="1"/>
  <c r="T20" i="18" a="1"/>
  <c r="T20" i="18" s="1"/>
  <c r="T21" i="18" a="1"/>
  <c r="T21" i="18" s="1"/>
  <c r="T22" i="18" a="1"/>
  <c r="T22" i="18" s="1"/>
  <c r="T23" i="18" a="1"/>
  <c r="T23" i="18" s="1"/>
  <c r="T24" i="18" a="1"/>
  <c r="T24" i="18" s="1"/>
  <c r="T25" i="18" a="1"/>
  <c r="T25" i="18" s="1"/>
  <c r="T26" i="18" a="1"/>
  <c r="T26" i="18" s="1"/>
  <c r="T27" i="18" a="1"/>
  <c r="T27" i="18" s="1"/>
  <c r="T28" i="18" a="1"/>
  <c r="T28" i="18" s="1"/>
  <c r="T29" i="18" a="1"/>
  <c r="T29" i="18" s="1"/>
  <c r="T30" i="18" a="1"/>
  <c r="T30" i="18" s="1"/>
  <c r="T31" i="18" a="1"/>
  <c r="T31" i="18" s="1"/>
  <c r="T32" i="18" a="1"/>
  <c r="T32" i="18" s="1"/>
  <c r="T33" i="18" a="1"/>
  <c r="T33" i="18" s="1"/>
  <c r="T34" i="18" a="1"/>
  <c r="T34" i="18" s="1"/>
  <c r="T35" i="18" a="1"/>
  <c r="T35" i="18" s="1"/>
  <c r="T36" i="18" a="1"/>
  <c r="T36" i="18" s="1"/>
  <c r="T37" i="18" a="1"/>
  <c r="T37" i="18" s="1"/>
  <c r="T38" i="18" a="1"/>
  <c r="T38" i="18" s="1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 s="1"/>
  <c r="T46" i="18" a="1"/>
  <c r="T46" i="18" s="1"/>
  <c r="T47" i="18" a="1"/>
  <c r="T47" i="18" s="1"/>
  <c r="T48" i="18" a="1"/>
  <c r="T48" i="18" s="1"/>
  <c r="T49" i="18" a="1"/>
  <c r="T49" i="18" s="1"/>
  <c r="T50" i="18" a="1"/>
  <c r="T50" i="18" s="1"/>
  <c r="T51" i="18" a="1"/>
  <c r="T51" i="18" s="1"/>
  <c r="T52" i="18" a="1"/>
  <c r="T52" i="18" s="1"/>
  <c r="T53" i="18" a="1"/>
  <c r="T53" i="18" s="1"/>
  <c r="T54" i="18" a="1"/>
  <c r="T54" i="18" s="1"/>
  <c r="T55" i="18" a="1"/>
  <c r="T55" i="18" s="1"/>
  <c r="T56" i="18" a="1"/>
  <c r="T56" i="18" s="1"/>
  <c r="T57" i="18" a="1"/>
  <c r="T57" i="18" s="1"/>
  <c r="T58" i="18" a="1"/>
  <c r="T58" i="18" s="1"/>
  <c r="T59" i="18" a="1"/>
  <c r="T59" i="18" s="1"/>
  <c r="T60" i="18" a="1"/>
  <c r="T60" i="18" s="1"/>
  <c r="T61" i="18" a="1"/>
  <c r="T61" i="18" s="1"/>
  <c r="T62" i="18" a="1"/>
  <c r="T62" i="18" s="1"/>
  <c r="T63" i="18" a="1"/>
  <c r="T63" i="18" s="1"/>
  <c r="T64" i="18" a="1"/>
  <c r="T64" i="18" s="1"/>
  <c r="T65" i="18" a="1"/>
  <c r="T65" i="18" s="1"/>
  <c r="T66" i="18" a="1"/>
  <c r="T66" i="18" s="1"/>
  <c r="T67" i="18" a="1"/>
  <c r="T67" i="18" s="1"/>
  <c r="T68" i="18" a="1"/>
  <c r="T68" i="18" s="1"/>
  <c r="T69" i="18" a="1"/>
  <c r="T69" i="18" s="1"/>
  <c r="T70" i="18" a="1"/>
  <c r="T70" i="18" s="1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L2" i="17"/>
  <c r="L3" i="17"/>
  <c r="L4" i="17"/>
  <c r="L5" i="17"/>
  <c r="L6" i="17"/>
  <c r="L7" i="17"/>
  <c r="L62" i="17"/>
  <c r="L72" i="17"/>
  <c r="L8" i="17"/>
  <c r="L9" i="17"/>
  <c r="L10" i="17"/>
  <c r="L11" i="17"/>
  <c r="L12" i="17"/>
  <c r="L13" i="17"/>
  <c r="L63" i="17"/>
  <c r="L73" i="17"/>
  <c r="L14" i="17"/>
  <c r="L15" i="17"/>
  <c r="L16" i="17"/>
  <c r="L17" i="17"/>
  <c r="L18" i="17"/>
  <c r="L19" i="17"/>
  <c r="T19" i="17" s="1" a="1"/>
  <c r="T19" i="17" s="1"/>
  <c r="L64" i="17"/>
  <c r="T64" i="17" s="1" a="1"/>
  <c r="T64" i="17" s="1"/>
  <c r="L74" i="17"/>
  <c r="L20" i="17"/>
  <c r="L21" i="17"/>
  <c r="L22" i="17"/>
  <c r="L23" i="17"/>
  <c r="L24" i="17"/>
  <c r="L25" i="17"/>
  <c r="L65" i="17"/>
  <c r="R65" i="17" s="1" a="1"/>
  <c r="R65" i="17" s="1"/>
  <c r="L75" i="17"/>
  <c r="L26" i="17"/>
  <c r="L27" i="17"/>
  <c r="L28" i="17"/>
  <c r="L29" i="17"/>
  <c r="L30" i="17"/>
  <c r="L31" i="17"/>
  <c r="L66" i="17"/>
  <c r="L76" i="17"/>
  <c r="L32" i="17"/>
  <c r="L33" i="17"/>
  <c r="L34" i="17"/>
  <c r="L35" i="17"/>
  <c r="L36" i="17"/>
  <c r="L37" i="17"/>
  <c r="L67" i="17"/>
  <c r="L77" i="17"/>
  <c r="L38" i="17"/>
  <c r="L39" i="17"/>
  <c r="L40" i="17"/>
  <c r="L41" i="17"/>
  <c r="L42" i="17"/>
  <c r="L43" i="17"/>
  <c r="L68" i="17"/>
  <c r="L78" i="17"/>
  <c r="L44" i="17"/>
  <c r="L45" i="17"/>
  <c r="L46" i="17"/>
  <c r="L47" i="17"/>
  <c r="O47" i="17" s="1" a="1"/>
  <c r="O47" i="17" s="1"/>
  <c r="L48" i="17"/>
  <c r="O48" i="17" s="1" a="1"/>
  <c r="O48" i="17" s="1"/>
  <c r="L49" i="17"/>
  <c r="O49" i="17" s="1" a="1"/>
  <c r="O49" i="17" s="1"/>
  <c r="L69" i="17"/>
  <c r="O69" i="17" s="1" a="1"/>
  <c r="O69" i="17" s="1"/>
  <c r="L79" i="17"/>
  <c r="O79" i="17" s="1" a="1"/>
  <c r="O79" i="17" s="1"/>
  <c r="L50" i="17"/>
  <c r="L51" i="17"/>
  <c r="O51" i="17" s="1" a="1"/>
  <c r="O51" i="17" s="1"/>
  <c r="L52" i="17"/>
  <c r="O52" i="17" s="1" a="1"/>
  <c r="O52" i="17" s="1"/>
  <c r="L53" i="17"/>
  <c r="O53" i="17" s="1" a="1"/>
  <c r="O53" i="17" s="1"/>
  <c r="L54" i="17"/>
  <c r="L55" i="17"/>
  <c r="O55" i="17" s="1" a="1"/>
  <c r="O55" i="17" s="1"/>
  <c r="L70" i="17"/>
  <c r="O70" i="17" s="1" a="1"/>
  <c r="O70" i="17" s="1"/>
  <c r="L80" i="17"/>
  <c r="O80" i="17" s="1" a="1"/>
  <c r="O80" i="17" s="1"/>
  <c r="L56" i="17"/>
  <c r="L57" i="17"/>
  <c r="O57" i="17" s="1" a="1"/>
  <c r="O57" i="17" s="1"/>
  <c r="L58" i="17"/>
  <c r="O58" i="17" s="1" a="1"/>
  <c r="O58" i="17" s="1"/>
  <c r="L59" i="17"/>
  <c r="L60" i="17"/>
  <c r="L61" i="17"/>
  <c r="O61" i="17" s="1" a="1"/>
  <c r="O61" i="17" s="1"/>
  <c r="L71" i="17"/>
  <c r="L8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62" i="17" a="1"/>
  <c r="M62" i="17" s="1"/>
  <c r="M72" i="17" a="1"/>
  <c r="M72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63" i="17" a="1"/>
  <c r="M63" i="17" s="1"/>
  <c r="M73" i="17" a="1"/>
  <c r="M7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64" i="17" a="1"/>
  <c r="M64" i="17" s="1"/>
  <c r="M74" i="17" a="1"/>
  <c r="M7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65" i="17" a="1"/>
  <c r="M65" i="17" s="1"/>
  <c r="M75" i="17" a="1"/>
  <c r="M7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66" i="17" a="1"/>
  <c r="M66" i="17" s="1"/>
  <c r="M76" i="17" a="1"/>
  <c r="M7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67" i="17" a="1"/>
  <c r="M67" i="17" s="1"/>
  <c r="M77" i="17" a="1"/>
  <c r="M7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68" i="17" a="1"/>
  <c r="M68" i="17" s="1"/>
  <c r="M78" i="17" a="1"/>
  <c r="M7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69" i="17" a="1"/>
  <c r="M69" i="17" s="1"/>
  <c r="M79" i="17" a="1"/>
  <c r="M7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70" i="17" a="1"/>
  <c r="M70" i="17" s="1"/>
  <c r="M80" i="17" a="1"/>
  <c r="M8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71" i="17" a="1"/>
  <c r="M71" i="17" s="1"/>
  <c r="M81" i="17" a="1"/>
  <c r="M81" i="17" s="1"/>
  <c r="N10" i="17" a="1"/>
  <c r="N10" i="17" s="1"/>
  <c r="N11" i="17" a="1"/>
  <c r="N11" i="17" s="1"/>
  <c r="N12" i="17" a="1"/>
  <c r="N12" i="17" s="1"/>
  <c r="N13" i="17" a="1"/>
  <c r="N13" i="17" s="1"/>
  <c r="N63" i="17" a="1"/>
  <c r="N63" i="17" s="1"/>
  <c r="N73" i="17" a="1"/>
  <c r="N73" i="17" s="1"/>
  <c r="N14" i="17" a="1"/>
  <c r="N14" i="17" s="1"/>
  <c r="N15" i="17" a="1"/>
  <c r="N15" i="17" s="1"/>
  <c r="N16" i="17" a="1"/>
  <c r="N16" i="17" s="1"/>
  <c r="N17" i="17" a="1"/>
  <c r="N17" i="17" s="1"/>
  <c r="N18" i="17" a="1"/>
  <c r="N18" i="17" s="1"/>
  <c r="N19" i="17" a="1"/>
  <c r="N19" i="17" s="1"/>
  <c r="N64" i="17" a="1"/>
  <c r="N64" i="17" s="1"/>
  <c r="N74" i="17" a="1"/>
  <c r="N74" i="17" s="1"/>
  <c r="N20" i="17" a="1"/>
  <c r="N20" i="17" s="1"/>
  <c r="N21" i="17" a="1"/>
  <c r="N21" i="17" s="1"/>
  <c r="N22" i="17" a="1"/>
  <c r="N22" i="17" s="1"/>
  <c r="N23" i="17" a="1"/>
  <c r="N23" i="17" s="1"/>
  <c r="N24" i="17" a="1"/>
  <c r="N24" i="17" s="1"/>
  <c r="N25" i="17" a="1"/>
  <c r="N25" i="17" s="1"/>
  <c r="N65" i="17" a="1"/>
  <c r="N65" i="17" s="1"/>
  <c r="N75" i="17" a="1"/>
  <c r="N75" i="17" s="1"/>
  <c r="N26" i="17" a="1"/>
  <c r="N26" i="17" s="1"/>
  <c r="N54" i="17" a="1"/>
  <c r="N54" i="17" s="1"/>
  <c r="N55" i="17" a="1"/>
  <c r="N55" i="17" s="1"/>
  <c r="N70" i="17" a="1"/>
  <c r="N70" i="17" s="1"/>
  <c r="N80" i="17" a="1"/>
  <c r="N80" i="17" s="1"/>
  <c r="N56" i="17" a="1"/>
  <c r="N56" i="17" s="1"/>
  <c r="N57" i="17" a="1"/>
  <c r="N57" i="17" s="1"/>
  <c r="N58" i="17" a="1"/>
  <c r="N58" i="17" s="1"/>
  <c r="N59" i="17" a="1"/>
  <c r="N59" i="17" s="1"/>
  <c r="N60" i="17" a="1"/>
  <c r="N60" i="17" s="1"/>
  <c r="N61" i="17" a="1"/>
  <c r="N61" i="17" s="1"/>
  <c r="N71" i="17" a="1"/>
  <c r="N71" i="17" s="1"/>
  <c r="N81" i="17" a="1"/>
  <c r="N8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62" i="17" a="1"/>
  <c r="O62" i="17" s="1"/>
  <c r="O72" i="17" a="1"/>
  <c r="O7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63" i="17" a="1"/>
  <c r="O63" i="17" s="1"/>
  <c r="O73" i="17" a="1"/>
  <c r="O7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64" i="17" a="1"/>
  <c r="O64" i="17" s="1"/>
  <c r="O74" i="17" a="1"/>
  <c r="O74" i="17" s="1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65" i="17" a="1"/>
  <c r="O65" i="17" s="1"/>
  <c r="O75" i="17" a="1"/>
  <c r="O75" i="17" s="1"/>
  <c r="O26" i="17" a="1"/>
  <c r="O26" i="17" s="1"/>
  <c r="O27" i="17" a="1"/>
  <c r="O27" i="17" s="1"/>
  <c r="O28" i="17" a="1"/>
  <c r="O28" i="17" s="1"/>
  <c r="O29" i="17" a="1"/>
  <c r="O29" i="17" s="1"/>
  <c r="O30" i="17" a="1"/>
  <c r="O30" i="17" s="1"/>
  <c r="O31" i="17" a="1"/>
  <c r="O31" i="17" s="1"/>
  <c r="O66" i="17" a="1"/>
  <c r="O66" i="17" s="1"/>
  <c r="O76" i="17" a="1"/>
  <c r="O76" i="17" s="1"/>
  <c r="O32" i="17" a="1"/>
  <c r="O32" i="17" s="1"/>
  <c r="O33" i="17" a="1"/>
  <c r="O33" i="17" s="1"/>
  <c r="O34" i="17" a="1"/>
  <c r="O34" i="17" s="1"/>
  <c r="O35" i="17" a="1"/>
  <c r="O35" i="17" s="1"/>
  <c r="O36" i="17" a="1"/>
  <c r="O36" i="17" s="1"/>
  <c r="O37" i="17" a="1"/>
  <c r="O37" i="17" s="1"/>
  <c r="O67" i="17" a="1"/>
  <c r="O67" i="17" s="1"/>
  <c r="O77" i="17" a="1"/>
  <c r="O7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68" i="17" a="1"/>
  <c r="O68" i="17" s="1"/>
  <c r="O78" i="17" a="1"/>
  <c r="O78" i="17" s="1"/>
  <c r="O44" i="17" a="1"/>
  <c r="O44" i="17" s="1"/>
  <c r="O45" i="17" a="1"/>
  <c r="O45" i="17" s="1"/>
  <c r="P2" i="17" a="1"/>
  <c r="P2" i="17"/>
  <c r="P3" i="17" a="1"/>
  <c r="P3" i="17"/>
  <c r="P4" i="17" a="1"/>
  <c r="P4" i="17" s="1"/>
  <c r="P5" i="17" a="1"/>
  <c r="P5" i="17" s="1"/>
  <c r="P6" i="17" a="1"/>
  <c r="P6" i="17"/>
  <c r="P7" i="17" a="1"/>
  <c r="P7" i="17" s="1"/>
  <c r="P62" i="17" a="1"/>
  <c r="P62" i="17" s="1"/>
  <c r="P72" i="17" a="1"/>
  <c r="P7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63" i="17" a="1"/>
  <c r="P63" i="17" s="1"/>
  <c r="P73" i="17" a="1"/>
  <c r="P7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64" i="17" a="1"/>
  <c r="P64" i="17" s="1"/>
  <c r="P74" i="17" a="1"/>
  <c r="P74" i="17" s="1"/>
  <c r="P20" i="17" a="1"/>
  <c r="P20" i="17" s="1"/>
  <c r="P21" i="17" a="1"/>
  <c r="P21" i="17" s="1"/>
  <c r="P22" i="17" a="1"/>
  <c r="P22" i="17" s="1"/>
  <c r="P23" i="17" a="1"/>
  <c r="P23" i="17"/>
  <c r="P24" i="17" a="1"/>
  <c r="P24" i="17"/>
  <c r="P25" i="17" a="1"/>
  <c r="P25" i="17"/>
  <c r="P65" i="17" a="1"/>
  <c r="P65" i="17"/>
  <c r="P75" i="17" a="1"/>
  <c r="P75" i="17"/>
  <c r="P26" i="17" a="1"/>
  <c r="P26" i="17"/>
  <c r="P27" i="17" a="1"/>
  <c r="P27" i="17"/>
  <c r="P28" i="17" a="1"/>
  <c r="P28" i="17"/>
  <c r="P29" i="17" a="1"/>
  <c r="P29" i="17"/>
  <c r="P30" i="17" a="1"/>
  <c r="P30" i="17"/>
  <c r="P31" i="17" a="1"/>
  <c r="P31" i="17"/>
  <c r="P66" i="17" a="1"/>
  <c r="P66" i="17"/>
  <c r="P76" i="17" a="1"/>
  <c r="P76" i="17"/>
  <c r="P32" i="17" a="1"/>
  <c r="P32" i="17"/>
  <c r="P33" i="17" a="1"/>
  <c r="P33" i="17"/>
  <c r="P34" i="17" a="1"/>
  <c r="P34" i="17"/>
  <c r="P35" i="17" a="1"/>
  <c r="P35" i="17"/>
  <c r="P36" i="17" a="1"/>
  <c r="P36" i="17"/>
  <c r="P37" i="17" a="1"/>
  <c r="P37" i="17"/>
  <c r="P67" i="17" a="1"/>
  <c r="P67" i="17"/>
  <c r="P77" i="17" a="1"/>
  <c r="P77" i="17"/>
  <c r="P38" i="17" a="1"/>
  <c r="P38" i="17"/>
  <c r="P39" i="17" a="1"/>
  <c r="P39" i="17"/>
  <c r="P40" i="17" a="1"/>
  <c r="P40" i="17"/>
  <c r="P41" i="17" a="1"/>
  <c r="P41" i="17"/>
  <c r="P42" i="17" a="1"/>
  <c r="P42" i="17"/>
  <c r="P43" i="17" a="1"/>
  <c r="P43" i="17"/>
  <c r="P68" i="17" a="1"/>
  <c r="P68" i="17"/>
  <c r="P78" i="17" a="1"/>
  <c r="P78" i="17"/>
  <c r="P44" i="17" a="1"/>
  <c r="P44" i="17"/>
  <c r="P45" i="17" a="1"/>
  <c r="P45" i="17"/>
  <c r="P46" i="17" a="1"/>
  <c r="P46" i="17"/>
  <c r="P47" i="17" a="1"/>
  <c r="P47" i="17"/>
  <c r="P48" i="17" a="1"/>
  <c r="P48" i="17"/>
  <c r="P49" i="17" a="1"/>
  <c r="P49" i="17"/>
  <c r="P69" i="17" a="1"/>
  <c r="P69" i="17"/>
  <c r="P79" i="17" a="1"/>
  <c r="P79" i="17"/>
  <c r="P50" i="17" a="1"/>
  <c r="P50" i="17"/>
  <c r="P51" i="17" a="1"/>
  <c r="P51" i="17"/>
  <c r="P52" i="17" a="1"/>
  <c r="P52" i="17"/>
  <c r="P53" i="17" a="1"/>
  <c r="P53" i="17"/>
  <c r="P54" i="17" a="1"/>
  <c r="P54" i="17"/>
  <c r="P55" i="17" a="1"/>
  <c r="P55" i="17"/>
  <c r="P70" i="17" a="1"/>
  <c r="P70" i="17"/>
  <c r="P80" i="17" a="1"/>
  <c r="P80" i="17"/>
  <c r="P56" i="17" a="1"/>
  <c r="P56" i="17"/>
  <c r="P57" i="17" a="1"/>
  <c r="P57" i="17"/>
  <c r="P58" i="17" a="1"/>
  <c r="P58" i="17"/>
  <c r="P59" i="17" a="1"/>
  <c r="P59" i="17"/>
  <c r="P60" i="17" a="1"/>
  <c r="P60" i="17"/>
  <c r="P61" i="17" a="1"/>
  <c r="P61" i="17"/>
  <c r="P71" i="17" a="1"/>
  <c r="P71" i="17"/>
  <c r="P81" i="17" a="1"/>
  <c r="P81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63" i="17" a="1"/>
  <c r="R63" i="17"/>
  <c r="R73" i="17" a="1"/>
  <c r="R73" i="17"/>
  <c r="R14" i="17" a="1"/>
  <c r="R14" i="17"/>
  <c r="R15" i="17" a="1"/>
  <c r="R15" i="17"/>
  <c r="R16" i="17" a="1"/>
  <c r="R16" i="17"/>
  <c r="R17" i="17" a="1"/>
  <c r="R17" i="17"/>
  <c r="R18" i="17" a="1"/>
  <c r="R18" i="17"/>
  <c r="R19" i="17" a="1"/>
  <c r="R19" i="17"/>
  <c r="R66" i="17" a="1"/>
  <c r="R66" i="17" s="1"/>
  <c r="R76" i="17" a="1"/>
  <c r="R7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67" i="17" a="1"/>
  <c r="R67" i="17" s="1"/>
  <c r="R77" i="17" a="1"/>
  <c r="R77" i="17" s="1"/>
  <c r="S8" i="17" a="1"/>
  <c r="S8" i="17"/>
  <c r="S9" i="17" a="1"/>
  <c r="S9" i="17"/>
  <c r="S10" i="17" a="1"/>
  <c r="S10" i="17"/>
  <c r="S11" i="17" a="1"/>
  <c r="S11" i="17" s="1"/>
  <c r="S12" i="17" a="1"/>
  <c r="S12" i="17" s="1"/>
  <c r="S13" i="17" a="1"/>
  <c r="S13" i="17" s="1"/>
  <c r="S63" i="17" a="1"/>
  <c r="S63" i="17"/>
  <c r="S73" i="17" a="1"/>
  <c r="S7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64" i="17" a="1"/>
  <c r="S64" i="17" s="1"/>
  <c r="S74" i="17" a="1"/>
  <c r="S74" i="17" s="1"/>
  <c r="S20" i="17" a="1"/>
  <c r="S20" i="17" s="1"/>
  <c r="S21" i="17" a="1"/>
  <c r="S21" i="17" s="1"/>
  <c r="S22" i="17" a="1"/>
  <c r="S22" i="17" s="1"/>
  <c r="S23" i="17" a="1"/>
  <c r="S23" i="17"/>
  <c r="S24" i="17" a="1"/>
  <c r="S24" i="17" s="1"/>
  <c r="S25" i="17" a="1"/>
  <c r="S25" i="17" s="1"/>
  <c r="S65" i="17" a="1"/>
  <c r="S65" i="17" s="1"/>
  <c r="S75" i="17" a="1"/>
  <c r="S7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66" i="17" a="1"/>
  <c r="S66" i="17" s="1"/>
  <c r="S76" i="17" a="1"/>
  <c r="S7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67" i="17" a="1"/>
  <c r="S67" i="17" s="1"/>
  <c r="S77" i="17" a="1"/>
  <c r="S7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68" i="17" a="1"/>
  <c r="S68" i="17" s="1"/>
  <c r="S78" i="17" a="1"/>
  <c r="S7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69" i="17" a="1"/>
  <c r="S69" i="17" s="1"/>
  <c r="S79" i="17" a="1"/>
  <c r="S7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70" i="17" a="1"/>
  <c r="S70" i="17" s="1"/>
  <c r="S80" i="17" a="1"/>
  <c r="S8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71" i="17" a="1"/>
  <c r="S71" i="17" s="1"/>
  <c r="S81" i="17" a="1"/>
  <c r="S81" i="17" s="1"/>
  <c r="T2" i="17" a="1"/>
  <c r="T2" i="17" s="1"/>
  <c r="T3" i="17" a="1"/>
  <c r="T3" i="17" s="1"/>
  <c r="T4" i="17" a="1"/>
  <c r="T4" i="17" s="1"/>
  <c r="T5" i="17" a="1"/>
  <c r="T5" i="17" s="1"/>
  <c r="T6" i="17" a="1"/>
  <c r="T6" i="17" s="1"/>
  <c r="T7" i="17" a="1"/>
  <c r="T7" i="17" s="1"/>
  <c r="T62" i="17" a="1"/>
  <c r="T62" i="17" s="1"/>
  <c r="T72" i="17" a="1"/>
  <c r="T7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63" i="17" a="1"/>
  <c r="T63" i="17" s="1"/>
  <c r="T73" i="17" a="1"/>
  <c r="T73" i="17" s="1"/>
  <c r="T14" i="17" a="1"/>
  <c r="T14" i="17" s="1"/>
  <c r="T15" i="17" a="1"/>
  <c r="T15" i="17" s="1"/>
  <c r="T16" i="17" a="1"/>
  <c r="T16" i="17" s="1"/>
  <c r="T17" i="17" a="1"/>
  <c r="T17" i="17" s="1"/>
  <c r="T30" i="17" a="1"/>
  <c r="T30" i="17" s="1"/>
  <c r="T31" i="17" a="1"/>
  <c r="T31" i="17" s="1"/>
  <c r="T66" i="17" a="1"/>
  <c r="T66" i="17" s="1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U63" i="17" a="1"/>
  <c r="U63" i="17"/>
  <c r="U73" i="17" a="1"/>
  <c r="U73" i="17"/>
  <c r="U14" i="17" a="1"/>
  <c r="U14" i="17"/>
  <c r="U15" i="17" a="1"/>
  <c r="U15" i="17"/>
  <c r="U16" i="17" a="1"/>
  <c r="U16" i="17"/>
  <c r="U17" i="17" a="1"/>
  <c r="U17" i="17"/>
  <c r="U18" i="17" a="1"/>
  <c r="U18" i="17"/>
  <c r="U19" i="17" a="1"/>
  <c r="U19" i="17"/>
  <c r="U64" i="17" a="1"/>
  <c r="U64" i="17"/>
  <c r="U74" i="17" a="1"/>
  <c r="U74" i="17"/>
  <c r="U20" i="17" a="1"/>
  <c r="U20" i="17"/>
  <c r="U21" i="17" a="1"/>
  <c r="U21" i="17"/>
  <c r="U22" i="17" a="1"/>
  <c r="U22" i="17"/>
  <c r="U23" i="17" a="1"/>
  <c r="U23" i="17"/>
  <c r="U24" i="17" a="1"/>
  <c r="U24" i="17"/>
  <c r="U25" i="17" a="1"/>
  <c r="U25" i="17"/>
  <c r="U65" i="17" a="1"/>
  <c r="U65" i="17"/>
  <c r="U75" i="17" a="1"/>
  <c r="U75" i="17"/>
  <c r="U26" i="17" a="1"/>
  <c r="U26" i="17"/>
  <c r="U27" i="17" a="1"/>
  <c r="U27" i="17"/>
  <c r="U28" i="17" a="1"/>
  <c r="U28" i="17"/>
  <c r="U29" i="17" a="1"/>
  <c r="U29" i="17"/>
  <c r="U30" i="17" a="1"/>
  <c r="U30" i="17"/>
  <c r="U31" i="17" a="1"/>
  <c r="U31" i="17"/>
  <c r="U66" i="17" a="1"/>
  <c r="U66" i="17"/>
  <c r="U76" i="17" a="1"/>
  <c r="U76" i="17"/>
  <c r="U32" i="17" a="1"/>
  <c r="U32" i="17"/>
  <c r="U33" i="17" a="1"/>
  <c r="U33" i="17"/>
  <c r="U34" i="17" a="1"/>
  <c r="U34" i="17" s="1"/>
  <c r="U35" i="17" a="1"/>
  <c r="U35" i="17" s="1"/>
  <c r="U36" i="17" a="1"/>
  <c r="U36" i="17" s="1"/>
  <c r="U37" i="17" a="1"/>
  <c r="U37" i="17" s="1"/>
  <c r="U67" i="17" a="1"/>
  <c r="U67" i="17" s="1"/>
  <c r="U77" i="17" a="1"/>
  <c r="U7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68" i="17" a="1"/>
  <c r="U68" i="17" s="1"/>
  <c r="U78" i="17" a="1"/>
  <c r="U7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69" i="17" a="1"/>
  <c r="U69" i="17" s="1"/>
  <c r="U79" i="17" a="1"/>
  <c r="U79" i="17" s="1"/>
  <c r="U50" i="17" a="1"/>
  <c r="U50" i="17" s="1"/>
  <c r="U51" i="17" a="1"/>
  <c r="U51" i="17" s="1"/>
  <c r="U52" i="17" a="1"/>
  <c r="U52" i="17" s="1"/>
  <c r="U53" i="17" a="1"/>
  <c r="U53" i="17" s="1"/>
  <c r="U54" i="17" a="1"/>
  <c r="U54" i="17" s="1"/>
  <c r="U55" i="17" a="1"/>
  <c r="U55" i="17" s="1"/>
  <c r="U70" i="17" a="1"/>
  <c r="U70" i="17" s="1"/>
  <c r="U80" i="17" a="1"/>
  <c r="U80" i="17" s="1"/>
  <c r="U56" i="17" a="1"/>
  <c r="U56" i="17" s="1"/>
  <c r="U57" i="17" a="1"/>
  <c r="U57" i="17" s="1"/>
  <c r="U58" i="17" a="1"/>
  <c r="U58" i="17" s="1"/>
  <c r="U59" i="17" a="1"/>
  <c r="U59" i="17" s="1"/>
  <c r="U60" i="17" a="1"/>
  <c r="U60" i="17" s="1"/>
  <c r="U61" i="17" a="1"/>
  <c r="U61" i="17" s="1"/>
  <c r="U71" i="17" a="1"/>
  <c r="U71" i="17" s="1"/>
  <c r="U81" i="17" a="1"/>
  <c r="U8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62" i="17" a="1"/>
  <c r="V62" i="17" s="1"/>
  <c r="V72" i="17" a="1"/>
  <c r="V7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63" i="17" a="1"/>
  <c r="V63" i="17" s="1"/>
  <c r="V73" i="17" a="1"/>
  <c r="V7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64" i="17" a="1"/>
  <c r="V64" i="17" s="1"/>
  <c r="V74" i="17" a="1"/>
  <c r="V74" i="17" s="1"/>
  <c r="V20" i="17" a="1"/>
  <c r="V20" i="17" s="1"/>
  <c r="V21" i="17" a="1"/>
  <c r="V21" i="17" s="1"/>
  <c r="V28" i="17" a="1"/>
  <c r="V28" i="17" s="1"/>
  <c r="V29" i="17" a="1"/>
  <c r="V29" i="17" s="1"/>
  <c r="V30" i="17" a="1"/>
  <c r="V30" i="17" s="1"/>
  <c r="X7" i="17" a="1"/>
  <c r="X7" i="17"/>
  <c r="X62" i="17" a="1"/>
  <c r="X62" i="17"/>
  <c r="X72" i="17" a="1"/>
  <c r="X72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X63" i="17" a="1"/>
  <c r="X63" i="17"/>
  <c r="X73" i="17" a="1"/>
  <c r="X73" i="17"/>
  <c r="X14" i="17" a="1"/>
  <c r="X14" i="17"/>
  <c r="X15" i="17" a="1"/>
  <c r="X15" i="17"/>
  <c r="X16" i="17" a="1"/>
  <c r="X16" i="17"/>
  <c r="X17" i="17" a="1"/>
  <c r="X17" i="17"/>
  <c r="X18" i="17" a="1"/>
  <c r="X18" i="17"/>
  <c r="X19" i="17" a="1"/>
  <c r="X19" i="17"/>
  <c r="X64" i="17" a="1"/>
  <c r="X64" i="17"/>
  <c r="X74" i="17" a="1"/>
  <c r="X74" i="17"/>
  <c r="X20" i="17" a="1"/>
  <c r="X20" i="17"/>
  <c r="X21" i="17" a="1"/>
  <c r="X21" i="17"/>
  <c r="X22" i="17" a="1"/>
  <c r="X22" i="17"/>
  <c r="X23" i="17" a="1"/>
  <c r="X23" i="17"/>
  <c r="X24" i="17" a="1"/>
  <c r="X24" i="17"/>
  <c r="X25" i="17" a="1"/>
  <c r="X25" i="17"/>
  <c r="X65" i="17" a="1"/>
  <c r="X65" i="17"/>
  <c r="X75" i="17" a="1"/>
  <c r="X75" i="17"/>
  <c r="X26" i="17" a="1"/>
  <c r="X26" i="17"/>
  <c r="X27" i="17" a="1"/>
  <c r="X27" i="17"/>
  <c r="X28" i="17" a="1"/>
  <c r="X28" i="17"/>
  <c r="X29" i="17" a="1"/>
  <c r="X29" i="17"/>
  <c r="X30" i="17" a="1"/>
  <c r="X30" i="17"/>
  <c r="X31" i="17" a="1"/>
  <c r="X31" i="17"/>
  <c r="X66" i="17" a="1"/>
  <c r="X66" i="17" s="1"/>
  <c r="X76" i="17" a="1"/>
  <c r="X76" i="17" s="1"/>
  <c r="X32" i="17" a="1"/>
  <c r="X32" i="17" s="1"/>
  <c r="X33" i="17" a="1"/>
  <c r="X33" i="17" s="1"/>
  <c r="X34" i="17" a="1"/>
  <c r="X34" i="17" s="1"/>
  <c r="X35" i="17" a="1"/>
  <c r="X35" i="17" s="1"/>
  <c r="X36" i="17" a="1"/>
  <c r="X36" i="17" s="1"/>
  <c r="X37" i="17" a="1"/>
  <c r="X37" i="17" s="1"/>
  <c r="X67" i="17" a="1"/>
  <c r="X67" i="17" s="1"/>
  <c r="X77" i="17" a="1"/>
  <c r="X77" i="17" s="1"/>
  <c r="X38" i="17" a="1"/>
  <c r="X38" i="17" s="1"/>
  <c r="X39" i="17" a="1"/>
  <c r="X39" i="17" s="1"/>
  <c r="X40" i="17" a="1"/>
  <c r="X40" i="17" s="1"/>
  <c r="X41" i="17" a="1"/>
  <c r="X41" i="17" s="1"/>
  <c r="X42" i="17" a="1"/>
  <c r="X42" i="17" s="1"/>
  <c r="X43" i="17" a="1"/>
  <c r="X43" i="17" s="1"/>
  <c r="X68" i="17" a="1"/>
  <c r="X68" i="17" s="1"/>
  <c r="X78" i="17" a="1"/>
  <c r="X78" i="17" s="1"/>
  <c r="X44" i="17" a="1"/>
  <c r="X44" i="17" s="1"/>
  <c r="X45" i="17" a="1"/>
  <c r="X45" i="17" s="1"/>
  <c r="X46" i="17" a="1"/>
  <c r="X46" i="17" s="1"/>
  <c r="X47" i="17" a="1"/>
  <c r="X47" i="17" s="1"/>
  <c r="X48" i="17" a="1"/>
  <c r="X48" i="17" s="1"/>
  <c r="X49" i="17" a="1"/>
  <c r="X49" i="17" s="1"/>
  <c r="X69" i="17" a="1"/>
  <c r="X69" i="17" s="1"/>
  <c r="X79" i="17" a="1"/>
  <c r="X79" i="17" s="1"/>
  <c r="X50" i="17" a="1"/>
  <c r="X50" i="17" s="1"/>
  <c r="X51" i="17" a="1"/>
  <c r="X51" i="17" s="1"/>
  <c r="X52" i="17" a="1"/>
  <c r="X52" i="17" s="1"/>
  <c r="X53" i="17" a="1"/>
  <c r="X53" i="17" s="1"/>
  <c r="X54" i="17" a="1"/>
  <c r="X54" i="17" s="1"/>
  <c r="X55" i="17" a="1"/>
  <c r="X55" i="17" s="1"/>
  <c r="X70" i="17" a="1"/>
  <c r="X70" i="17" s="1"/>
  <c r="X80" i="17" a="1"/>
  <c r="X80" i="17" s="1"/>
  <c r="X56" i="17" a="1"/>
  <c r="X56" i="17" s="1"/>
  <c r="X57" i="17" a="1"/>
  <c r="X57" i="17" s="1"/>
  <c r="X58" i="17" a="1"/>
  <c r="X58" i="17" s="1"/>
  <c r="X59" i="17" a="1"/>
  <c r="X59" i="17" s="1"/>
  <c r="X60" i="17" a="1"/>
  <c r="X60" i="17" s="1"/>
  <c r="X61" i="17" a="1"/>
  <c r="X61" i="17" s="1"/>
  <c r="X71" i="17" a="1"/>
  <c r="X71" i="17" s="1"/>
  <c r="X81" i="17" a="1"/>
  <c r="X81" i="17" s="1"/>
  <c r="G2" i="16"/>
  <c r="L20" i="20" l="1" a="1"/>
  <c r="L20" i="20" s="1"/>
  <c r="O38" i="20" a="1"/>
  <c r="O38" i="20" s="1"/>
  <c r="O35" i="20" a="1"/>
  <c r="O35" i="20" s="1"/>
  <c r="O37" i="20" a="1"/>
  <c r="O37" i="20" s="1"/>
  <c r="N5" i="20"/>
  <c r="N6" i="20"/>
  <c r="N8" i="20"/>
  <c r="N9" i="20"/>
  <c r="N13" i="20"/>
  <c r="N15" i="20"/>
  <c r="N21" i="20"/>
  <c r="N25" i="20"/>
  <c r="N29" i="20"/>
  <c r="N31" i="20"/>
  <c r="N35" i="20"/>
  <c r="N37" i="20"/>
  <c r="N39" i="20"/>
  <c r="N44" i="20"/>
  <c r="N46" i="20"/>
  <c r="N51" i="20"/>
  <c r="N53" i="20"/>
  <c r="N56" i="20"/>
  <c r="N60" i="20"/>
  <c r="N63" i="20"/>
  <c r="N65" i="20"/>
  <c r="N70" i="20"/>
  <c r="N73" i="20"/>
  <c r="N78" i="20"/>
  <c r="N81" i="20"/>
  <c r="N85" i="20"/>
  <c r="N88" i="20"/>
  <c r="N91" i="20"/>
  <c r="N96" i="20"/>
  <c r="N99" i="20"/>
  <c r="N104" i="20"/>
  <c r="N111" i="20"/>
  <c r="N114" i="20"/>
  <c r="N119" i="20"/>
  <c r="N2" i="20"/>
  <c r="N11" i="20"/>
  <c r="N20" i="20"/>
  <c r="N27" i="20"/>
  <c r="N34" i="20"/>
  <c r="N42" i="20"/>
  <c r="N48" i="20"/>
  <c r="N57" i="20"/>
  <c r="N68" i="20"/>
  <c r="N75" i="20"/>
  <c r="N84" i="20"/>
  <c r="N93" i="20"/>
  <c r="N100" i="20"/>
  <c r="N108" i="20"/>
  <c r="N115" i="20"/>
  <c r="N3" i="20"/>
  <c r="N10" i="20"/>
  <c r="N24" i="20"/>
  <c r="N33" i="20"/>
  <c r="N41" i="20"/>
  <c r="N49" i="20"/>
  <c r="N58" i="20"/>
  <c r="N66" i="20"/>
  <c r="N76" i="20"/>
  <c r="N83" i="20"/>
  <c r="N92" i="20"/>
  <c r="N101" i="20"/>
  <c r="N107" i="20"/>
  <c r="N116" i="20"/>
  <c r="N17" i="20"/>
  <c r="N23" i="20"/>
  <c r="N28" i="20"/>
  <c r="N32" i="20"/>
  <c r="N36" i="20"/>
  <c r="N38" i="20"/>
  <c r="N43" i="20"/>
  <c r="N47" i="20"/>
  <c r="N52" i="20"/>
  <c r="N55" i="20"/>
  <c r="N61" i="20"/>
  <c r="N64" i="20"/>
  <c r="N69" i="20"/>
  <c r="N72" i="20"/>
  <c r="N77" i="20"/>
  <c r="N80" i="20"/>
  <c r="N86" i="20"/>
  <c r="N89" i="20"/>
  <c r="N94" i="20"/>
  <c r="N97" i="20"/>
  <c r="N102" i="20"/>
  <c r="N105" i="20"/>
  <c r="N110" i="20"/>
  <c r="N113" i="20"/>
  <c r="N118" i="20"/>
  <c r="N121" i="20"/>
  <c r="L19" i="20" a="1"/>
  <c r="L19" i="20" s="1"/>
  <c r="N19" i="20" s="1"/>
  <c r="O36" i="20" a="1"/>
  <c r="O36" i="20" s="1"/>
  <c r="N4" i="20"/>
  <c r="N7" i="20"/>
  <c r="N14" i="20"/>
  <c r="N16" i="20"/>
  <c r="N22" i="20"/>
  <c r="N26" i="20"/>
  <c r="N30" i="20"/>
  <c r="N40" i="20"/>
  <c r="N45" i="20"/>
  <c r="N50" i="20"/>
  <c r="N54" i="20"/>
  <c r="N59" i="20"/>
  <c r="N62" i="20"/>
  <c r="N67" i="20"/>
  <c r="N71" i="20"/>
  <c r="N74" i="20"/>
  <c r="N79" i="20"/>
  <c r="N82" i="20"/>
  <c r="N87" i="20"/>
  <c r="N90" i="20"/>
  <c r="N95" i="20"/>
  <c r="N98" i="20"/>
  <c r="N103" i="20"/>
  <c r="N106" i="20"/>
  <c r="N109" i="20"/>
  <c r="N112" i="20"/>
  <c r="N117" i="20"/>
  <c r="N120" i="20"/>
  <c r="O57" i="20" a="1"/>
  <c r="O57" i="20" s="1"/>
  <c r="O54" i="20" a="1"/>
  <c r="O54" i="20" s="1"/>
  <c r="O56" i="20" a="1"/>
  <c r="O56" i="20" s="1"/>
  <c r="K99" i="20" a="1"/>
  <c r="K99" i="20" s="1"/>
  <c r="L18" i="20" a="1"/>
  <c r="L18" i="20" s="1"/>
  <c r="N18" i="20" s="1"/>
  <c r="O34" i="20" a="1"/>
  <c r="O34" i="20" s="1"/>
  <c r="T86" i="18" a="1"/>
  <c r="T86" i="18" s="1"/>
  <c r="O23" i="18" a="1"/>
  <c r="O23" i="18" s="1"/>
  <c r="T89" i="18" a="1"/>
  <c r="T89" i="18" s="1"/>
  <c r="T90" i="18" a="1"/>
  <c r="T90" i="18" s="1"/>
  <c r="T95" i="18" a="1"/>
  <c r="T95" i="18" s="1"/>
  <c r="P121" i="18" a="1"/>
  <c r="P121" i="18" s="1"/>
  <c r="P126" i="18" a="1"/>
  <c r="P126" i="18" s="1"/>
  <c r="P129" i="18" a="1"/>
  <c r="P129" i="18" s="1"/>
  <c r="T93" i="18" a="1"/>
  <c r="T93" i="18" s="1"/>
  <c r="P120" i="18" a="1"/>
  <c r="P120" i="18" s="1"/>
  <c r="P124" i="18" a="1"/>
  <c r="P124" i="18" s="1"/>
  <c r="P128" i="18" a="1"/>
  <c r="P128" i="18" s="1"/>
  <c r="T87" i="18" a="1"/>
  <c r="T87" i="18" s="1"/>
  <c r="T92" i="18" a="1"/>
  <c r="T92" i="18" s="1"/>
  <c r="P119" i="18" a="1"/>
  <c r="P119" i="18" s="1"/>
  <c r="P123" i="18" a="1"/>
  <c r="P123" i="18" s="1"/>
  <c r="P127" i="18" a="1"/>
  <c r="P127" i="18" s="1"/>
  <c r="O24" i="18" a="1"/>
  <c r="O24" i="18" s="1"/>
  <c r="T88" i="18" a="1"/>
  <c r="T88" i="18" s="1"/>
  <c r="T91" i="18" a="1"/>
  <c r="T91" i="18" s="1"/>
  <c r="T94" i="18" a="1"/>
  <c r="T94" i="18" s="1"/>
  <c r="P122" i="18" a="1"/>
  <c r="P122" i="18" s="1"/>
  <c r="R122" i="18" s="1"/>
  <c r="U122" i="18" s="1"/>
  <c r="P125" i="18" a="1"/>
  <c r="P125" i="18" s="1"/>
  <c r="R5" i="18"/>
  <c r="U5" i="18" s="1"/>
  <c r="P70" i="18" a="1"/>
  <c r="P70" i="18" s="1"/>
  <c r="R70" i="18" s="1"/>
  <c r="U70" i="18" s="1"/>
  <c r="O2" i="18" a="1"/>
  <c r="O2" i="18" s="1"/>
  <c r="T77" i="18" a="1"/>
  <c r="T77" i="18" s="1"/>
  <c r="P77" i="18" a="1"/>
  <c r="P77" i="18" s="1"/>
  <c r="R77" i="18" s="1"/>
  <c r="U77" i="18" s="1"/>
  <c r="T78" i="18" a="1"/>
  <c r="T78" i="18" s="1"/>
  <c r="P78" i="18" a="1"/>
  <c r="P78" i="18" s="1"/>
  <c r="R78" i="18" s="1"/>
  <c r="U78" i="18" s="1"/>
  <c r="P79" i="18" a="1"/>
  <c r="P79" i="18" s="1"/>
  <c r="R79" i="18" s="1"/>
  <c r="U79" i="18" s="1"/>
  <c r="T79" i="18" a="1"/>
  <c r="T79" i="18" s="1"/>
  <c r="S4" i="18" a="1"/>
  <c r="S4" i="18" s="1"/>
  <c r="P80" i="18" a="1"/>
  <c r="P80" i="18" s="1"/>
  <c r="R80" i="18" s="1"/>
  <c r="U80" i="18" s="1"/>
  <c r="O3" i="18" a="1"/>
  <c r="O3" i="18" s="1"/>
  <c r="P81" i="18" a="1"/>
  <c r="P81" i="18" s="1"/>
  <c r="R81" i="18" s="1"/>
  <c r="U81" i="18" s="1"/>
  <c r="O4" i="18" a="1"/>
  <c r="O4" i="18" s="1"/>
  <c r="S5" i="18" a="1"/>
  <c r="S5" i="18" s="1"/>
  <c r="P82" i="18" a="1"/>
  <c r="P82" i="18" s="1"/>
  <c r="R82" i="18" s="1"/>
  <c r="U82" i="18" s="1"/>
  <c r="O5" i="18" a="1"/>
  <c r="O5" i="18" s="1"/>
  <c r="T121" i="18" a="1"/>
  <c r="T121" i="18" s="1"/>
  <c r="S6" i="18" a="1"/>
  <c r="S6" i="18" s="1"/>
  <c r="O6" i="18" a="1"/>
  <c r="O6" i="18" s="1"/>
  <c r="S7" i="18" a="1"/>
  <c r="S7" i="18" s="1"/>
  <c r="T125" i="18" a="1"/>
  <c r="T125" i="18" s="1"/>
  <c r="P83" i="18" a="1"/>
  <c r="P83" i="18" s="1"/>
  <c r="R83" i="18" s="1"/>
  <c r="U83" i="18" s="1"/>
  <c r="T126" i="18" a="1"/>
  <c r="T126" i="18" s="1"/>
  <c r="O7" i="18" a="1"/>
  <c r="O7" i="18" s="1"/>
  <c r="P84" i="18" a="1"/>
  <c r="P84" i="18" s="1"/>
  <c r="R84" i="18" s="1"/>
  <c r="U84" i="18" s="1"/>
  <c r="S8" i="18" a="1"/>
  <c r="S8" i="18" s="1"/>
  <c r="T129" i="18" a="1"/>
  <c r="T129" i="18" s="1"/>
  <c r="O25" i="18" a="1"/>
  <c r="O25" i="18" s="1"/>
  <c r="S2" i="18" a="1"/>
  <c r="S2" i="18" s="1"/>
  <c r="R2" i="18"/>
  <c r="U2" i="18" s="1"/>
  <c r="R3" i="18"/>
  <c r="U3" i="18" s="1"/>
  <c r="R4" i="18"/>
  <c r="U4" i="18" s="1"/>
  <c r="R6" i="18"/>
  <c r="U6" i="18" s="1"/>
  <c r="R7" i="18"/>
  <c r="U7" i="18" s="1"/>
  <c r="R8" i="18"/>
  <c r="U8" i="18" s="1"/>
  <c r="R9" i="18"/>
  <c r="U9" i="18" s="1"/>
  <c r="R10" i="18"/>
  <c r="U10" i="18" s="1"/>
  <c r="R11" i="18"/>
  <c r="U11" i="18" s="1"/>
  <c r="R12" i="18"/>
  <c r="U12" i="18" s="1"/>
  <c r="R13" i="18"/>
  <c r="U13" i="18" s="1"/>
  <c r="R14" i="18"/>
  <c r="U14" i="18" s="1"/>
  <c r="R15" i="18"/>
  <c r="U15" i="18" s="1"/>
  <c r="R16" i="18"/>
  <c r="U16" i="18" s="1"/>
  <c r="R17" i="18"/>
  <c r="U17" i="18" s="1"/>
  <c r="R18" i="18"/>
  <c r="U18" i="18" s="1"/>
  <c r="R19" i="18"/>
  <c r="U19" i="18" s="1"/>
  <c r="R20" i="18"/>
  <c r="U20" i="18" s="1"/>
  <c r="R21" i="18"/>
  <c r="U21" i="18" s="1"/>
  <c r="R22" i="18"/>
  <c r="U22" i="18" s="1"/>
  <c r="R23" i="18"/>
  <c r="U23" i="18" s="1"/>
  <c r="R24" i="18"/>
  <c r="U24" i="18" s="1"/>
  <c r="R25" i="18"/>
  <c r="U25" i="18" s="1"/>
  <c r="R26" i="18"/>
  <c r="U26" i="18" s="1"/>
  <c r="R27" i="18"/>
  <c r="U27" i="18" s="1"/>
  <c r="R28" i="18"/>
  <c r="U28" i="18" s="1"/>
  <c r="R29" i="18"/>
  <c r="U29" i="18" s="1"/>
  <c r="R30" i="18"/>
  <c r="U30" i="18" s="1"/>
  <c r="R31" i="18"/>
  <c r="U31" i="18" s="1"/>
  <c r="R32" i="18"/>
  <c r="U32" i="18" s="1"/>
  <c r="R33" i="18"/>
  <c r="U33" i="18" s="1"/>
  <c r="R34" i="18"/>
  <c r="U34" i="18" s="1"/>
  <c r="R35" i="18"/>
  <c r="U35" i="18" s="1"/>
  <c r="R36" i="18"/>
  <c r="U36" i="18" s="1"/>
  <c r="R37" i="18"/>
  <c r="U37" i="18" s="1"/>
  <c r="R38" i="18"/>
  <c r="U38" i="18" s="1"/>
  <c r="R39" i="18"/>
  <c r="U39" i="18" s="1"/>
  <c r="R40" i="18"/>
  <c r="U40" i="18" s="1"/>
  <c r="R41" i="18"/>
  <c r="U41" i="18" s="1"/>
  <c r="R42" i="18"/>
  <c r="U42" i="18" s="1"/>
  <c r="R43" i="18"/>
  <c r="U43" i="18" s="1"/>
  <c r="R44" i="18"/>
  <c r="U44" i="18" s="1"/>
  <c r="R45" i="18"/>
  <c r="U45" i="18" s="1"/>
  <c r="R46" i="18"/>
  <c r="U46" i="18" s="1"/>
  <c r="R47" i="18"/>
  <c r="U47" i="18" s="1"/>
  <c r="R48" i="18"/>
  <c r="U48" i="18" s="1"/>
  <c r="R49" i="18"/>
  <c r="U49" i="18" s="1"/>
  <c r="R50" i="18"/>
  <c r="U50" i="18" s="1"/>
  <c r="R51" i="18"/>
  <c r="U51" i="18" s="1"/>
  <c r="R52" i="18"/>
  <c r="U52" i="18" s="1"/>
  <c r="R53" i="18"/>
  <c r="U53" i="18" s="1"/>
  <c r="R54" i="18"/>
  <c r="U54" i="18" s="1"/>
  <c r="R55" i="18"/>
  <c r="U55" i="18" s="1"/>
  <c r="R56" i="18"/>
  <c r="U56" i="18" s="1"/>
  <c r="R57" i="18"/>
  <c r="U57" i="18" s="1"/>
  <c r="R58" i="18"/>
  <c r="U58" i="18" s="1"/>
  <c r="R59" i="18"/>
  <c r="U59" i="18" s="1"/>
  <c r="R60" i="18"/>
  <c r="U60" i="18" s="1"/>
  <c r="R61" i="18"/>
  <c r="U61" i="18" s="1"/>
  <c r="R62" i="18"/>
  <c r="U62" i="18" s="1"/>
  <c r="R63" i="18"/>
  <c r="U63" i="18" s="1"/>
  <c r="R64" i="18"/>
  <c r="U64" i="18" s="1"/>
  <c r="R65" i="18"/>
  <c r="U65" i="18" s="1"/>
  <c r="R66" i="18"/>
  <c r="U66" i="18" s="1"/>
  <c r="R67" i="18"/>
  <c r="U67" i="18" s="1"/>
  <c r="R68" i="18"/>
  <c r="U68" i="18" s="1"/>
  <c r="R69" i="18"/>
  <c r="U69" i="18" s="1"/>
  <c r="R71" i="18"/>
  <c r="U71" i="18" s="1"/>
  <c r="R72" i="18"/>
  <c r="U72" i="18" s="1"/>
  <c r="R73" i="18"/>
  <c r="U73" i="18" s="1"/>
  <c r="R74" i="18"/>
  <c r="U74" i="18" s="1"/>
  <c r="R75" i="18"/>
  <c r="U75" i="18" s="1"/>
  <c r="R76" i="18"/>
  <c r="U76" i="18" s="1"/>
  <c r="R85" i="18"/>
  <c r="U85" i="18" s="1"/>
  <c r="R86" i="18"/>
  <c r="U86" i="18" s="1"/>
  <c r="R87" i="18"/>
  <c r="U87" i="18" s="1"/>
  <c r="R88" i="18"/>
  <c r="U88" i="18" s="1"/>
  <c r="R89" i="18"/>
  <c r="U89" i="18" s="1"/>
  <c r="R90" i="18"/>
  <c r="U90" i="18" s="1"/>
  <c r="R91" i="18"/>
  <c r="U91" i="18" s="1"/>
  <c r="R92" i="18"/>
  <c r="U92" i="18" s="1"/>
  <c r="R93" i="18"/>
  <c r="U93" i="18" s="1"/>
  <c r="R94" i="18"/>
  <c r="U94" i="18" s="1"/>
  <c r="R95" i="18"/>
  <c r="U95" i="18" s="1"/>
  <c r="R96" i="18"/>
  <c r="U96" i="18" s="1"/>
  <c r="R97" i="18"/>
  <c r="U97" i="18" s="1"/>
  <c r="R98" i="18"/>
  <c r="U98" i="18" s="1"/>
  <c r="R99" i="18"/>
  <c r="U99" i="18" s="1"/>
  <c r="R100" i="18"/>
  <c r="U100" i="18" s="1"/>
  <c r="R101" i="18"/>
  <c r="U101" i="18" s="1"/>
  <c r="R102" i="18"/>
  <c r="U102" i="18" s="1"/>
  <c r="R103" i="18"/>
  <c r="U103" i="18" s="1"/>
  <c r="R104" i="18"/>
  <c r="U104" i="18" s="1"/>
  <c r="R105" i="18"/>
  <c r="U105" i="18" s="1"/>
  <c r="R106" i="18"/>
  <c r="U106" i="18" s="1"/>
  <c r="R107" i="18"/>
  <c r="U107" i="18" s="1"/>
  <c r="R108" i="18"/>
  <c r="U108" i="18" s="1"/>
  <c r="R109" i="18"/>
  <c r="U109" i="18" s="1"/>
  <c r="R110" i="18"/>
  <c r="U110" i="18" s="1"/>
  <c r="R111" i="18"/>
  <c r="U111" i="18" s="1"/>
  <c r="R112" i="18"/>
  <c r="U112" i="18" s="1"/>
  <c r="R113" i="18"/>
  <c r="U113" i="18" s="1"/>
  <c r="R114" i="18"/>
  <c r="U114" i="18" s="1"/>
  <c r="R115" i="18"/>
  <c r="U115" i="18" s="1"/>
  <c r="R116" i="18"/>
  <c r="U116" i="18" s="1"/>
  <c r="R117" i="18"/>
  <c r="U117" i="18" s="1"/>
  <c r="R118" i="18"/>
  <c r="U118" i="18" s="1"/>
  <c r="R119" i="18"/>
  <c r="U119" i="18" s="1"/>
  <c r="R120" i="18"/>
  <c r="U120" i="18" s="1"/>
  <c r="R121" i="18"/>
  <c r="U121" i="18" s="1"/>
  <c r="R123" i="18"/>
  <c r="U123" i="18" s="1"/>
  <c r="R124" i="18"/>
  <c r="U124" i="18" s="1"/>
  <c r="R125" i="18"/>
  <c r="U125" i="18" s="1"/>
  <c r="R126" i="18"/>
  <c r="U126" i="18" s="1"/>
  <c r="R127" i="18"/>
  <c r="U127" i="18" s="1"/>
  <c r="R128" i="18"/>
  <c r="U128" i="18" s="1"/>
  <c r="R129" i="18"/>
  <c r="U129" i="18" s="1"/>
  <c r="R130" i="18"/>
  <c r="U130" i="18" s="1"/>
  <c r="R131" i="18"/>
  <c r="U131" i="18" s="1"/>
  <c r="R132" i="18"/>
  <c r="U132" i="18" s="1"/>
  <c r="R133" i="18"/>
  <c r="U133" i="18" s="1"/>
  <c r="R134" i="18"/>
  <c r="U134" i="18" s="1"/>
  <c r="R135" i="18"/>
  <c r="U135" i="18" s="1"/>
  <c r="R136" i="18"/>
  <c r="U136" i="18" s="1"/>
  <c r="R137" i="18"/>
  <c r="U137" i="18" s="1"/>
  <c r="R138" i="18"/>
  <c r="U138" i="18" s="1"/>
  <c r="R139" i="18"/>
  <c r="U139" i="18" s="1"/>
  <c r="R140" i="18"/>
  <c r="U140" i="18" s="1"/>
  <c r="R141" i="18"/>
  <c r="U141" i="18" s="1"/>
  <c r="R142" i="18"/>
  <c r="U142" i="18" s="1"/>
  <c r="R143" i="18"/>
  <c r="U143" i="18" s="1"/>
  <c r="R144" i="18"/>
  <c r="U144" i="18" s="1"/>
  <c r="R145" i="18"/>
  <c r="U145" i="18" s="1"/>
  <c r="R146" i="18"/>
  <c r="U146" i="18" s="1"/>
  <c r="R147" i="18"/>
  <c r="U147" i="18" s="1"/>
  <c r="R148" i="18"/>
  <c r="U148" i="18" s="1"/>
  <c r="R149" i="18"/>
  <c r="U149" i="18" s="1"/>
  <c r="R150" i="18"/>
  <c r="U150" i="18" s="1"/>
  <c r="R151" i="18"/>
  <c r="U151" i="18" s="1"/>
  <c r="V31" i="17" a="1"/>
  <c r="V31" i="17" s="1"/>
  <c r="V49" i="17" a="1"/>
  <c r="V49" i="17" s="1"/>
  <c r="V52" i="17" a="1"/>
  <c r="V52" i="17" s="1"/>
  <c r="V70" i="17" a="1"/>
  <c r="V70" i="17" s="1"/>
  <c r="V57" i="17" a="1"/>
  <c r="V57" i="17" s="1"/>
  <c r="V60" i="17" a="1"/>
  <c r="V60" i="17" s="1"/>
  <c r="V66" i="17" a="1"/>
  <c r="V66" i="17" s="1"/>
  <c r="V69" i="17" a="1"/>
  <c r="V69" i="17" s="1"/>
  <c r="V79" i="17" a="1"/>
  <c r="V79" i="17" s="1"/>
  <c r="V54" i="17" a="1"/>
  <c r="V54" i="17" s="1"/>
  <c r="V80" i="17" a="1"/>
  <c r="V80" i="17" s="1"/>
  <c r="V59" i="17" a="1"/>
  <c r="V59" i="17" s="1"/>
  <c r="V76" i="17" a="1"/>
  <c r="V76" i="17" s="1"/>
  <c r="V48" i="17" a="1"/>
  <c r="V48" i="17" s="1"/>
  <c r="V53" i="17" a="1"/>
  <c r="V53" i="17" s="1"/>
  <c r="V55" i="17" a="1"/>
  <c r="V55" i="17" s="1"/>
  <c r="V58" i="17" a="1"/>
  <c r="V58" i="17" s="1"/>
  <c r="V61" i="17" a="1"/>
  <c r="V61" i="17" s="1"/>
  <c r="T18" i="17" a="1"/>
  <c r="T18" i="17" s="1"/>
  <c r="O46" i="17" a="1"/>
  <c r="O46" i="17" s="1"/>
  <c r="R64" i="17" a="1"/>
  <c r="R64" i="17" s="1"/>
  <c r="T74" i="17" a="1"/>
  <c r="T74" i="17" s="1"/>
  <c r="R74" i="17" a="1"/>
  <c r="R74" i="17" s="1"/>
  <c r="R20" i="17" a="1"/>
  <c r="R20" i="17" s="1"/>
  <c r="T20" i="17" a="1"/>
  <c r="T20" i="17" s="1"/>
  <c r="R21" i="17" a="1"/>
  <c r="R21" i="17" s="1"/>
  <c r="T21" i="17" a="1"/>
  <c r="T21" i="17" s="1"/>
  <c r="V22" i="17" a="1"/>
  <c r="V22" i="17" s="1"/>
  <c r="R22" i="17" a="1"/>
  <c r="R22" i="17" s="1"/>
  <c r="V24" i="17" a="1"/>
  <c r="V24" i="17" s="1"/>
  <c r="T22" i="17" a="1"/>
  <c r="T22" i="17" s="1"/>
  <c r="R23" i="17" a="1"/>
  <c r="R23" i="17" s="1"/>
  <c r="V23" i="17" a="1"/>
  <c r="V23" i="17" s="1"/>
  <c r="T23" i="17" a="1"/>
  <c r="T23" i="17" s="1"/>
  <c r="R24" i="17" a="1"/>
  <c r="R24" i="17" s="1"/>
  <c r="T24" i="17" a="1"/>
  <c r="T24" i="17" s="1"/>
  <c r="R75" i="17" a="1"/>
  <c r="R75" i="17" s="1"/>
  <c r="R25" i="17" a="1"/>
  <c r="R25" i="17" s="1"/>
  <c r="T25" i="17" a="1"/>
  <c r="T25" i="17" s="1"/>
  <c r="N62" i="17" a="1"/>
  <c r="N62" i="17" s="1"/>
  <c r="R26" i="17" a="1"/>
  <c r="R26" i="17" s="1"/>
  <c r="V25" i="17" a="1"/>
  <c r="V25" i="17" s="1"/>
  <c r="T65" i="17" a="1"/>
  <c r="T65" i="17" s="1"/>
  <c r="N72" i="17" a="1"/>
  <c r="N72" i="17" s="1"/>
  <c r="T75" i="17" a="1"/>
  <c r="T75" i="17" s="1"/>
  <c r="O50" i="17" a="1"/>
  <c r="O50" i="17" s="1"/>
  <c r="R27" i="17" a="1"/>
  <c r="R27" i="17" s="1"/>
  <c r="V65" i="17" a="1"/>
  <c r="V65" i="17" s="1"/>
  <c r="N8" i="17" a="1"/>
  <c r="N8" i="17" s="1"/>
  <c r="R6" i="17" a="1"/>
  <c r="R6" i="17" s="1"/>
  <c r="V75" i="17" a="1"/>
  <c r="V75" i="17" s="1"/>
  <c r="O54" i="17" a="1"/>
  <c r="O54" i="17" s="1"/>
  <c r="R28" i="17" a="1"/>
  <c r="R28" i="17" s="1"/>
  <c r="T26" i="17" a="1"/>
  <c r="T26" i="17" s="1"/>
  <c r="N9" i="17" a="1"/>
  <c r="N9" i="17" s="1"/>
  <c r="R29" i="17" a="1"/>
  <c r="R29" i="17" s="1"/>
  <c r="T27" i="17" a="1"/>
  <c r="T27" i="17" s="1"/>
  <c r="O56" i="17" a="1"/>
  <c r="O56" i="17" s="1"/>
  <c r="R7" i="17" a="1"/>
  <c r="R7" i="17" s="1"/>
  <c r="V26" i="17" a="1"/>
  <c r="V26" i="17" s="1"/>
  <c r="R62" i="17" a="1"/>
  <c r="R62" i="17" s="1"/>
  <c r="T28" i="17" a="1"/>
  <c r="T28" i="17" s="1"/>
  <c r="O59" i="17" a="1"/>
  <c r="O59" i="17" s="1"/>
  <c r="V27" i="17" a="1"/>
  <c r="V27" i="17" s="1"/>
  <c r="R30" i="17" a="1"/>
  <c r="R30" i="17" s="1"/>
  <c r="O60" i="17" a="1"/>
  <c r="O60" i="17" s="1"/>
  <c r="R31" i="17" a="1"/>
  <c r="R31" i="17" s="1"/>
  <c r="R72" i="17" a="1"/>
  <c r="R72" i="17" s="1"/>
  <c r="T29" i="17" a="1"/>
  <c r="T29" i="17" s="1"/>
  <c r="N29" i="17" a="1"/>
  <c r="N29" i="17" s="1"/>
  <c r="N76" i="17" a="1"/>
  <c r="N76" i="17" s="1"/>
  <c r="N33" i="17" a="1"/>
  <c r="N33" i="17" s="1"/>
  <c r="N37" i="17" a="1"/>
  <c r="N37" i="17" s="1"/>
  <c r="N40" i="17" a="1"/>
  <c r="N40" i="17" s="1"/>
  <c r="N43" i="17" a="1"/>
  <c r="N43" i="17" s="1"/>
  <c r="N31" i="17" a="1"/>
  <c r="N31" i="17" s="1"/>
  <c r="N32" i="17" a="1"/>
  <c r="N32" i="17" s="1"/>
  <c r="N36" i="17" a="1"/>
  <c r="N36" i="17" s="1"/>
  <c r="N77" i="17" a="1"/>
  <c r="N77" i="17" s="1"/>
  <c r="N39" i="17" a="1"/>
  <c r="N39" i="17" s="1"/>
  <c r="N42" i="17" a="1"/>
  <c r="N42" i="17" s="1"/>
  <c r="N30" i="17" a="1"/>
  <c r="N30" i="17" s="1"/>
  <c r="N66" i="17" a="1"/>
  <c r="N66" i="17" s="1"/>
  <c r="N35" i="17" a="1"/>
  <c r="N35" i="17" s="1"/>
  <c r="N67" i="17" a="1"/>
  <c r="N67" i="17" s="1"/>
  <c r="N38" i="17" a="1"/>
  <c r="N38" i="17" s="1"/>
  <c r="N41" i="17" a="1"/>
  <c r="N41" i="17" s="1"/>
  <c r="T76" i="17" a="1"/>
  <c r="T76" i="17" s="1"/>
  <c r="R38" i="17" a="1"/>
  <c r="R38" i="17" s="1"/>
  <c r="U4" i="17" a="1"/>
  <c r="U4" i="17" s="1"/>
  <c r="U3" i="17" a="1"/>
  <c r="U3" i="17" s="1"/>
  <c r="T32" i="17" a="1"/>
  <c r="T32" i="17" s="1"/>
  <c r="N2" i="17" a="1"/>
  <c r="N2" i="17" s="1"/>
  <c r="V32" i="17" a="1"/>
  <c r="V32" i="17" s="1"/>
  <c r="S4" i="17" a="1"/>
  <c r="S4" i="17" s="1"/>
  <c r="S3" i="17" a="1"/>
  <c r="S3" i="17" s="1"/>
  <c r="X2" i="17" a="1"/>
  <c r="X2" i="17" s="1"/>
  <c r="Y2" i="17" s="1"/>
  <c r="Q2" i="17" s="1"/>
  <c r="W2" i="17" s="1"/>
  <c r="T33" i="17" a="1"/>
  <c r="T33" i="17" s="1"/>
  <c r="N3" i="17" a="1"/>
  <c r="N3" i="17" s="1"/>
  <c r="V33" i="17" a="1"/>
  <c r="V33" i="17" s="1"/>
  <c r="T34" i="17" a="1"/>
  <c r="T34" i="17" s="1"/>
  <c r="V34" i="17" a="1"/>
  <c r="V34" i="17" s="1"/>
  <c r="T35" i="17" a="1"/>
  <c r="T35" i="17" s="1"/>
  <c r="V35" i="17" a="1"/>
  <c r="V35" i="17" s="1"/>
  <c r="T36" i="17" a="1"/>
  <c r="T36" i="17" s="1"/>
  <c r="U5" i="17" a="1"/>
  <c r="U5" i="17" s="1"/>
  <c r="V36" i="17" a="1"/>
  <c r="V36" i="17" s="1"/>
  <c r="S5" i="17" a="1"/>
  <c r="S5" i="17" s="1"/>
  <c r="X3" i="17" a="1"/>
  <c r="X3" i="17" s="1"/>
  <c r="Y3" i="17" s="1"/>
  <c r="Q3" i="17" s="1"/>
  <c r="W3" i="17" s="1"/>
  <c r="T37" i="17" a="1"/>
  <c r="T37" i="17" s="1"/>
  <c r="N4" i="17" a="1"/>
  <c r="N4" i="17" s="1"/>
  <c r="R2" i="17" a="1"/>
  <c r="R2" i="17" s="1"/>
  <c r="V37" i="17" a="1"/>
  <c r="V37" i="17" s="1"/>
  <c r="T67" i="17" a="1"/>
  <c r="T67" i="17" s="1"/>
  <c r="V67" i="17" a="1"/>
  <c r="V67" i="17" s="1"/>
  <c r="T77" i="17" a="1"/>
  <c r="T77" i="17" s="1"/>
  <c r="V77" i="17" a="1"/>
  <c r="V77" i="17" s="1"/>
  <c r="S6" i="17" a="1"/>
  <c r="S6" i="17" s="1"/>
  <c r="V38" i="17" a="1"/>
  <c r="V38" i="17" s="1"/>
  <c r="T38" i="17" a="1"/>
  <c r="T38" i="17" s="1"/>
  <c r="R3" i="17" a="1"/>
  <c r="R3" i="17" s="1"/>
  <c r="N5" i="17" a="1"/>
  <c r="N5" i="17" s="1"/>
  <c r="U6" i="17" a="1"/>
  <c r="U6" i="17" s="1"/>
  <c r="V39" i="17" a="1"/>
  <c r="V39" i="17" s="1"/>
  <c r="U7" i="17" a="1"/>
  <c r="U7" i="17" s="1"/>
  <c r="X4" i="17" a="1"/>
  <c r="X4" i="17" s="1"/>
  <c r="Y4" i="17" s="1"/>
  <c r="Q4" i="17" s="1"/>
  <c r="W4" i="17" s="1"/>
  <c r="R39" i="17" a="1"/>
  <c r="R39" i="17" s="1"/>
  <c r="S7" i="17" a="1"/>
  <c r="S7" i="17" s="1"/>
  <c r="T39" i="17" a="1"/>
  <c r="T39" i="17" s="1"/>
  <c r="N6" i="17" a="1"/>
  <c r="N6" i="17" s="1"/>
  <c r="V40" i="17" a="1"/>
  <c r="V40" i="17" s="1"/>
  <c r="T40" i="17" a="1"/>
  <c r="T40" i="17" s="1"/>
  <c r="R4" i="17" a="1"/>
  <c r="R4" i="17" s="1"/>
  <c r="R40" i="17" a="1"/>
  <c r="R40" i="17" s="1"/>
  <c r="R41" i="17" a="1"/>
  <c r="R41" i="17" s="1"/>
  <c r="V41" i="17" a="1"/>
  <c r="V41" i="17" s="1"/>
  <c r="T41" i="17" a="1"/>
  <c r="T41" i="17" s="1"/>
  <c r="U62" i="17" a="1"/>
  <c r="U62" i="17" s="1"/>
  <c r="S62" i="17" a="1"/>
  <c r="S62" i="17" s="1"/>
  <c r="N7" i="17" a="1"/>
  <c r="N7" i="17" s="1"/>
  <c r="R42" i="17" a="1"/>
  <c r="R42" i="17" s="1"/>
  <c r="V42" i="17" a="1"/>
  <c r="V42" i="17" s="1"/>
  <c r="X5" i="17" a="1"/>
  <c r="X5" i="17" s="1"/>
  <c r="Y5" i="17" s="1"/>
  <c r="Q5" i="17" s="1"/>
  <c r="W5" i="17" s="1"/>
  <c r="T42" i="17" a="1"/>
  <c r="T42" i="17" s="1"/>
  <c r="R43" i="17" a="1"/>
  <c r="R43" i="17" s="1"/>
  <c r="T43" i="17" a="1"/>
  <c r="T43" i="17" s="1"/>
  <c r="R5" i="17" a="1"/>
  <c r="R5" i="17" s="1"/>
  <c r="V43" i="17" a="1"/>
  <c r="V43" i="17" s="1"/>
  <c r="R68" i="17" a="1"/>
  <c r="R68" i="17" s="1"/>
  <c r="V68" i="17" a="1"/>
  <c r="V68" i="17" s="1"/>
  <c r="R78" i="17" a="1"/>
  <c r="R78" i="17" s="1"/>
  <c r="V78" i="17" a="1"/>
  <c r="V78" i="17" s="1"/>
  <c r="R44" i="17" a="1"/>
  <c r="R44" i="17" s="1"/>
  <c r="V44" i="17" a="1"/>
  <c r="V44" i="17" s="1"/>
  <c r="R45" i="17" a="1"/>
  <c r="R45" i="17" s="1"/>
  <c r="V45" i="17" a="1"/>
  <c r="V45" i="17" s="1"/>
  <c r="R46" i="17" a="1"/>
  <c r="R46" i="17" s="1"/>
  <c r="V46" i="17" a="1"/>
  <c r="V46" i="17" s="1"/>
  <c r="R47" i="17" a="1"/>
  <c r="R47" i="17" s="1"/>
  <c r="V47" i="17" a="1"/>
  <c r="V47" i="17" s="1"/>
  <c r="U72" i="17" a="1"/>
  <c r="U72" i="17" s="1"/>
  <c r="V50" i="17" a="1"/>
  <c r="V50" i="17" s="1"/>
  <c r="V51" i="17" a="1"/>
  <c r="V51" i="17" s="1"/>
  <c r="X6" i="17" a="1"/>
  <c r="X6" i="17" s="1"/>
  <c r="Y6" i="17" s="1"/>
  <c r="Q6" i="17" s="1"/>
  <c r="W6" i="17" s="1"/>
  <c r="V56" i="17" a="1"/>
  <c r="V56" i="17" s="1"/>
  <c r="S72" i="17" a="1"/>
  <c r="S72" i="17" s="1"/>
  <c r="O71" i="17" a="1"/>
  <c r="O71" i="17" s="1"/>
  <c r="V71" i="17" a="1"/>
  <c r="V71" i="17" s="1"/>
  <c r="O81" i="17" a="1"/>
  <c r="O81" i="17" s="1"/>
  <c r="V81" i="17" a="1"/>
  <c r="V81" i="17" s="1"/>
  <c r="N28" i="17" a="1"/>
  <c r="N28" i="17" s="1"/>
  <c r="R49" i="17" a="1"/>
  <c r="R49" i="17" s="1"/>
  <c r="R48" i="17" a="1"/>
  <c r="R48" i="17" s="1"/>
  <c r="N27" i="17" a="1"/>
  <c r="N27" i="17" s="1"/>
  <c r="N34" i="17" a="1"/>
  <c r="N34" i="17" s="1"/>
  <c r="S2" i="17" a="1"/>
  <c r="S2" i="17" s="1"/>
  <c r="N68" i="17" a="1"/>
  <c r="N68" i="17" s="1"/>
  <c r="T68" i="17" a="1"/>
  <c r="T68" i="17" s="1"/>
  <c r="N78" i="17" a="1"/>
  <c r="N78" i="17" s="1"/>
  <c r="T78" i="17" a="1"/>
  <c r="T78" i="17" s="1"/>
  <c r="N44" i="17" a="1"/>
  <c r="N44" i="17" s="1"/>
  <c r="T44" i="17" a="1"/>
  <c r="T44" i="17" s="1"/>
  <c r="N45" i="17" a="1"/>
  <c r="N45" i="17" s="1"/>
  <c r="T45" i="17" a="1"/>
  <c r="T45" i="17" s="1"/>
  <c r="N46" i="17" a="1"/>
  <c r="N46" i="17" s="1"/>
  <c r="T46" i="17" a="1"/>
  <c r="T46" i="17" s="1"/>
  <c r="T47" i="17" a="1"/>
  <c r="T47" i="17" s="1"/>
  <c r="N47" i="17" a="1"/>
  <c r="N47" i="17" s="1"/>
  <c r="T48" i="17" a="1"/>
  <c r="T48" i="17" s="1"/>
  <c r="N48" i="17" a="1"/>
  <c r="N48" i="17" s="1"/>
  <c r="T49" i="17" a="1"/>
  <c r="T49" i="17" s="1"/>
  <c r="N49" i="17" a="1"/>
  <c r="N49" i="17" s="1"/>
  <c r="R69" i="17" a="1"/>
  <c r="R69" i="17" s="1"/>
  <c r="N69" i="17" a="1"/>
  <c r="N69" i="17" s="1"/>
  <c r="T69" i="17" a="1"/>
  <c r="T69" i="17" s="1"/>
  <c r="T79" i="17" a="1"/>
  <c r="T79" i="17" s="1"/>
  <c r="R79" i="17" a="1"/>
  <c r="R79" i="17" s="1"/>
  <c r="N79" i="17" a="1"/>
  <c r="N79" i="17" s="1"/>
  <c r="R50" i="17" a="1"/>
  <c r="R50" i="17" s="1"/>
  <c r="N50" i="17" a="1"/>
  <c r="N50" i="17" s="1"/>
  <c r="T50" i="17" a="1"/>
  <c r="T50" i="17" s="1"/>
  <c r="U2" i="17" a="1"/>
  <c r="U2" i="17" s="1"/>
  <c r="N51" i="17" a="1"/>
  <c r="N51" i="17" s="1"/>
  <c r="T51" i="17" a="1"/>
  <c r="T51" i="17" s="1"/>
  <c r="R51" i="17" a="1"/>
  <c r="R51" i="17" s="1"/>
  <c r="R52" i="17" a="1"/>
  <c r="R52" i="17" s="1"/>
  <c r="T52" i="17" a="1"/>
  <c r="T52" i="17" s="1"/>
  <c r="N52" i="17" a="1"/>
  <c r="N52" i="17" s="1"/>
  <c r="R53" i="17" a="1"/>
  <c r="R53" i="17" s="1"/>
  <c r="T53" i="17" a="1"/>
  <c r="T53" i="17" s="1"/>
  <c r="T54" i="17" a="1"/>
  <c r="T54" i="17" s="1"/>
  <c r="R54" i="17" a="1"/>
  <c r="R54" i="17" s="1"/>
  <c r="N53" i="17" a="1"/>
  <c r="N53" i="17" s="1"/>
  <c r="R55" i="17" a="1"/>
  <c r="R55" i="17" s="1"/>
  <c r="T55" i="17" a="1"/>
  <c r="T55" i="17" s="1"/>
  <c r="R70" i="17" a="1"/>
  <c r="R70" i="17" s="1"/>
  <c r="T70" i="17" a="1"/>
  <c r="T70" i="17" s="1"/>
  <c r="R80" i="17" a="1"/>
  <c r="R80" i="17" s="1"/>
  <c r="T80" i="17" a="1"/>
  <c r="T80" i="17" s="1"/>
  <c r="T56" i="17" a="1"/>
  <c r="T56" i="17" s="1"/>
  <c r="R56" i="17" a="1"/>
  <c r="R56" i="17" s="1"/>
  <c r="R57" i="17" a="1"/>
  <c r="R57" i="17" s="1"/>
  <c r="T57" i="17" a="1"/>
  <c r="T57" i="17" s="1"/>
  <c r="R58" i="17" a="1"/>
  <c r="R58" i="17" s="1"/>
  <c r="T58" i="17" a="1"/>
  <c r="T58" i="17" s="1"/>
  <c r="T59" i="17" a="1"/>
  <c r="T59" i="17" s="1"/>
  <c r="R59" i="17" a="1"/>
  <c r="R59" i="17" s="1"/>
  <c r="R60" i="17" a="1"/>
  <c r="R60" i="17" s="1"/>
  <c r="T60" i="17" a="1"/>
  <c r="T60" i="17" s="1"/>
  <c r="R61" i="17" a="1"/>
  <c r="R61" i="17" s="1"/>
  <c r="T61" i="17" a="1"/>
  <c r="T61" i="17" s="1"/>
  <c r="R71" i="17" a="1"/>
  <c r="R71" i="17" s="1"/>
  <c r="T71" i="17" a="1"/>
  <c r="T71" i="17" s="1"/>
  <c r="R81" i="17" a="1"/>
  <c r="R81" i="17" s="1"/>
  <c r="T81" i="17" a="1"/>
  <c r="T81" i="17" s="1"/>
  <c r="Y7" i="17"/>
  <c r="Q7" i="17" s="1"/>
  <c r="W7" i="17" s="1"/>
  <c r="Y62" i="17"/>
  <c r="Q62" i="17" s="1"/>
  <c r="W62" i="17" s="1"/>
  <c r="Y72" i="17"/>
  <c r="Q72" i="17" s="1"/>
  <c r="W72" i="17" s="1"/>
  <c r="Y8" i="17"/>
  <c r="Q8" i="17" s="1"/>
  <c r="W8" i="17" s="1"/>
  <c r="Y9" i="17"/>
  <c r="Q9" i="17" s="1"/>
  <c r="W9" i="17" s="1"/>
  <c r="Y10" i="17"/>
  <c r="Q10" i="17" s="1"/>
  <c r="W10" i="17" s="1"/>
  <c r="Y11" i="17"/>
  <c r="Q11" i="17" s="1"/>
  <c r="W11" i="17" s="1"/>
  <c r="Y12" i="17"/>
  <c r="Q12" i="17" s="1"/>
  <c r="W12" i="17" s="1"/>
  <c r="Y13" i="17"/>
  <c r="Q13" i="17" s="1"/>
  <c r="W13" i="17" s="1"/>
  <c r="Y63" i="17"/>
  <c r="Q63" i="17" s="1"/>
  <c r="W63" i="17" s="1"/>
  <c r="Y73" i="17"/>
  <c r="Q73" i="17" s="1"/>
  <c r="W73" i="17" s="1"/>
  <c r="Y14" i="17"/>
  <c r="Q14" i="17" s="1"/>
  <c r="W14" i="17" s="1"/>
  <c r="Y15" i="17"/>
  <c r="Q15" i="17" s="1"/>
  <c r="W15" i="17" s="1"/>
  <c r="Y16" i="17"/>
  <c r="Q16" i="17" s="1"/>
  <c r="W16" i="17" s="1"/>
  <c r="Y17" i="17"/>
  <c r="Q17" i="17" s="1"/>
  <c r="W17" i="17" s="1"/>
  <c r="Y18" i="17"/>
  <c r="Q18" i="17" s="1"/>
  <c r="W18" i="17" s="1"/>
  <c r="Y19" i="17"/>
  <c r="Q19" i="17" s="1"/>
  <c r="W19" i="17" s="1"/>
  <c r="Y64" i="17"/>
  <c r="Q64" i="17" s="1"/>
  <c r="W64" i="17" s="1"/>
  <c r="Y74" i="17"/>
  <c r="Q74" i="17" s="1"/>
  <c r="W74" i="17" s="1"/>
  <c r="Y20" i="17"/>
  <c r="Q20" i="17" s="1"/>
  <c r="W20" i="17" s="1"/>
  <c r="Y21" i="17"/>
  <c r="Q21" i="17" s="1"/>
  <c r="W21" i="17"/>
  <c r="Y22" i="17"/>
  <c r="Q22" i="17" s="1"/>
  <c r="W22" i="17"/>
  <c r="Y23" i="17"/>
  <c r="Q23" i="17" s="1"/>
  <c r="W23" i="17"/>
  <c r="Y24" i="17"/>
  <c r="Q24" i="17" s="1"/>
  <c r="W24" i="17"/>
  <c r="Y25" i="17"/>
  <c r="Q25" i="17" s="1"/>
  <c r="W25" i="17"/>
  <c r="Y65" i="17"/>
  <c r="Q65" i="17" s="1"/>
  <c r="W65" i="17"/>
  <c r="Y75" i="17"/>
  <c r="Q75" i="17" s="1"/>
  <c r="W75" i="17"/>
  <c r="Y26" i="17"/>
  <c r="Q26" i="17" s="1"/>
  <c r="W26" i="17"/>
  <c r="Y27" i="17"/>
  <c r="Q27" i="17" s="1"/>
  <c r="W27" i="17"/>
  <c r="Y28" i="17"/>
  <c r="Q28" i="17" s="1"/>
  <c r="W28" i="17"/>
  <c r="Y29" i="17"/>
  <c r="Q29" i="17" s="1"/>
  <c r="W29" i="17"/>
  <c r="Y30" i="17"/>
  <c r="Q30" i="17" s="1"/>
  <c r="W30" i="17"/>
  <c r="Y31" i="17"/>
  <c r="Q31" i="17" s="1"/>
  <c r="W31" i="17"/>
  <c r="Y66" i="17"/>
  <c r="Q66" i="17" s="1"/>
  <c r="W66" i="17"/>
  <c r="Y76" i="17"/>
  <c r="Q76" i="17" s="1"/>
  <c r="W76" i="17"/>
  <c r="Y32" i="17"/>
  <c r="Q32" i="17" s="1"/>
  <c r="W32" i="17"/>
  <c r="Y33" i="17"/>
  <c r="Q33" i="17" s="1"/>
  <c r="W33" i="17"/>
  <c r="Y34" i="17"/>
  <c r="Q34" i="17" s="1"/>
  <c r="W34" i="17"/>
  <c r="Y35" i="17"/>
  <c r="Q35" i="17" s="1"/>
  <c r="W35" i="17" s="1"/>
  <c r="Y36" i="17"/>
  <c r="Q36" i="17" s="1"/>
  <c r="W36" i="17" s="1"/>
  <c r="Y37" i="17"/>
  <c r="Q37" i="17" s="1"/>
  <c r="W37" i="17" s="1"/>
  <c r="Y67" i="17"/>
  <c r="Q67" i="17" s="1"/>
  <c r="W67" i="17" s="1"/>
  <c r="Y77" i="17"/>
  <c r="Q77" i="17" s="1"/>
  <c r="W77" i="17" s="1"/>
  <c r="Y38" i="17"/>
  <c r="Q38" i="17" s="1"/>
  <c r="W38" i="17" s="1"/>
  <c r="Y39" i="17"/>
  <c r="Q39" i="17" s="1"/>
  <c r="W39" i="17" s="1"/>
  <c r="Y40" i="17"/>
  <c r="Q40" i="17" s="1"/>
  <c r="W40" i="17" s="1"/>
  <c r="Y41" i="17"/>
  <c r="Q41" i="17" s="1"/>
  <c r="W41" i="17" s="1"/>
  <c r="Y42" i="17"/>
  <c r="Q42" i="17" s="1"/>
  <c r="W42" i="17" s="1"/>
  <c r="Y43" i="17"/>
  <c r="Q43" i="17" s="1"/>
  <c r="W43" i="17" s="1"/>
  <c r="Y68" i="17"/>
  <c r="Q68" i="17" s="1"/>
  <c r="W68" i="17" s="1"/>
  <c r="Y78" i="17"/>
  <c r="Q78" i="17" s="1"/>
  <c r="W78" i="17" s="1"/>
  <c r="Y44" i="17"/>
  <c r="Q44" i="17" s="1"/>
  <c r="W44" i="17" s="1"/>
  <c r="Y45" i="17"/>
  <c r="Q45" i="17" s="1"/>
  <c r="W45" i="17" s="1"/>
  <c r="Y46" i="17"/>
  <c r="Y47" i="17"/>
  <c r="Q47" i="17" s="1"/>
  <c r="W47" i="17" s="1"/>
  <c r="Y48" i="17"/>
  <c r="Q48" i="17" s="1"/>
  <c r="W48" i="17"/>
  <c r="Y49" i="17"/>
  <c r="Q49" i="17" s="1"/>
  <c r="W49" i="17"/>
  <c r="Y69" i="17"/>
  <c r="Q69" i="17" s="1"/>
  <c r="W69" i="17"/>
  <c r="Y79" i="17"/>
  <c r="Q79" i="17" s="1"/>
  <c r="W79" i="17"/>
  <c r="Y50" i="17"/>
  <c r="Y51" i="17"/>
  <c r="Q51" i="17" s="1"/>
  <c r="W51" i="17"/>
  <c r="Y52" i="17"/>
  <c r="Q52" i="17" s="1"/>
  <c r="W52" i="17"/>
  <c r="Y53" i="17"/>
  <c r="Q53" i="17" s="1"/>
  <c r="W53" i="17"/>
  <c r="Y54" i="17"/>
  <c r="Y55" i="17"/>
  <c r="Q55" i="17" s="1"/>
  <c r="W55" i="17"/>
  <c r="Y70" i="17"/>
  <c r="Q70" i="17" s="1"/>
  <c r="W70" i="17"/>
  <c r="Y80" i="17"/>
  <c r="Q80" i="17" s="1"/>
  <c r="W80" i="17"/>
  <c r="Y56" i="17"/>
  <c r="Y57" i="17"/>
  <c r="Q57" i="17" s="1"/>
  <c r="W57" i="17"/>
  <c r="Y58" i="17"/>
  <c r="Q58" i="17" s="1"/>
  <c r="W58" i="17"/>
  <c r="Y59" i="17"/>
  <c r="Y60" i="17"/>
  <c r="Y61" i="17"/>
  <c r="Q61" i="17" s="1"/>
  <c r="W61" i="17"/>
  <c r="Y71" i="17"/>
  <c r="Y81" i="17"/>
  <c r="Q46" i="17" l="1"/>
  <c r="W46" i="17" s="1"/>
  <c r="Q50" i="17"/>
  <c r="W50" i="17" s="1"/>
  <c r="Q54" i="17"/>
  <c r="W54" i="17" s="1"/>
  <c r="Q56" i="17"/>
  <c r="W56" i="17" s="1"/>
  <c r="Q59" i="17"/>
  <c r="W59" i="17" s="1"/>
  <c r="Q60" i="17"/>
  <c r="W60" i="17" s="1"/>
  <c r="Q71" i="17"/>
  <c r="W71" i="17" s="1"/>
  <c r="Q81" i="17"/>
  <c r="W81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3\team04_uppgift3_1b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3\team04_uppgift3_1b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3\team04_uppgift3_1b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3\team04_uppgift3_1b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3\team04_uppgift3_1b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3\team04_uppgift3_1b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<sst xmlns="http://schemas.openxmlformats.org/spreadsheetml/2006/main" count="2010" uniqueCount="112">
  <si>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</si>
  <si>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</si>
  <si>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</si>
  <si>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</si>
  <si>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</si>
  <si>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</si>
  <si>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</si>
  <si>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</si>
  <si>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</si>
  <si>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</si>
  <si>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</si>
  <si>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</si>
  <si>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</si>
  <si>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</si>
  <si>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</si>
  <si>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</si>
  <si>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</si>
  <si>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</si>
  <si>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</si>
  <si>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</si>
  <si>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</si>
  <si>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</si>
  <si>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</si>
  <si>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</si>
  <si>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</si>
  <si>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</si>
  <si>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</si>
  <si>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</si>
  <si>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</si>
  <si>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</si>
  <si>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</si>
  <si>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</si>
  <si>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</si>
  <si>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</si>
  <si>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</si>
  <si>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</si>
  <si>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</si>
  <si>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</si>
  <si>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</si>
  <si>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</si>
  <si>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</si>
  <si>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</si>
  <si>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</si>
  <si>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</si>
  <si>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</si>
  <si>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</si>
  <si>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</si>
  <si>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</si>
  <si>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</si>
  <si>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</si>
  <si>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</si>
  <si>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</si>
  <si>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</si>
  <si>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</si>
  <si>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</si>
  <si>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</si>
  <si>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</si>
  <si>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</si>
  <si>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</si>
  <si>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</si>
  <si>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</si>
  <si>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</si>
  <si>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</si>
  <si>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</si>
  <si>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</si>
  <si>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</si>
  <si>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</si>
  <si>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</si>
  <si>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Simulering\LAB3\team04_uppgift3_1B.p</t>
  </si>
  <si>
    <t>2026-02-22 20:33:07</t>
  </si>
  <si>
    <t>Byggsats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</si>
  <si>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</si>
  <si>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</si>
  <si>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</si>
  <si>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</si>
  <si>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</si>
  <si>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</si>
  <si>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</si>
  <si>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Ny Montering.Queue</t>
  </si>
  <si>
    <t>Waiting Time</t>
  </si>
  <si>
    <t>Queue</t>
  </si>
  <si>
    <t>Reparation.Queue</t>
  </si>
  <si>
    <t>WIP</t>
  </si>
  <si>
    <t>Number Waiting</t>
  </si>
  <si>
    <t>Op1</t>
  </si>
  <si>
    <t>Instantaneous Utilization</t>
  </si>
  <si>
    <t>Resource</t>
  </si>
  <si>
    <t>Number Busy</t>
  </si>
  <si>
    <t>Number Scheduled</t>
  </si>
  <si>
    <t>Op2</t>
  </si>
  <si>
    <t>Op3</t>
  </si>
  <si>
    <t>Op4</t>
  </si>
  <si>
    <t>Byggsats.NumberIn</t>
  </si>
  <si>
    <t>Number In</t>
  </si>
  <si>
    <t>Byggsats.NumberOut</t>
  </si>
  <si>
    <t>Number Out</t>
  </si>
  <si>
    <t>Op1.NumberSeized</t>
  </si>
  <si>
    <t>Total Number Seized</t>
  </si>
  <si>
    <t>Op1.ScheduledUtilization</t>
  </si>
  <si>
    <t>Scheduled Utilization</t>
  </si>
  <si>
    <t>Op2.NumberSeized</t>
  </si>
  <si>
    <t>Op2.ScheduledUtilization</t>
  </si>
  <si>
    <t>Op3.NumberSeized</t>
  </si>
  <si>
    <t>Op3.ScheduledUtilization</t>
  </si>
  <si>
    <t>Op4.NumberSeized</t>
  </si>
  <si>
    <t>Op4.ScheduledUtilization</t>
  </si>
  <si>
    <t>System.NumberOut</t>
  </si>
  <si>
    <t>System</t>
  </si>
  <si>
    <t>tidiSystemet</t>
  </si>
  <si>
    <t>Output</t>
  </si>
  <si>
    <t>User Specified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</si>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</sst>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85657731481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856578009261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31">
        <s v="Byggsats"/>
        <s v="Ny Montering.Queue"/>
        <s v="Op1"/>
        <s v="Op2"/>
        <s v="Op3"/>
        <s v="Op4"/>
        <s v="Reparation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2.0225700754551199E-2" maxValue="4.8974164543117702"/>
    </cacheField>
    <cacheField name="BatchMeansHalfWidth" numFmtId="0">
      <sharedItems containsSemiMixedTypes="0" containsString="0" containsNumber="1" minValue="7.0055792882769896E-3" maxValue="3E+20"/>
    </cacheField>
    <cacheField name="Minimum" numFmtId="0">
      <sharedItems containsSemiMixedTypes="0" containsString="0" containsNumber="1" containsInteger="1" minValue="0" maxValue="2"/>
    </cacheField>
    <cacheField name="Maximum" numFmtId="0">
      <sharedItems containsSemiMixedTypes="0" containsString="0" containsNumber="1" containsInteger="1" minValue="1" maxValue="11"/>
    </cacheField>
    <cacheField name="LastRecordedValue" numFmtId="0">
      <sharedItems containsSemiMixedTypes="0" containsString="0" containsNumber="1" minValue="0" maxValue="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2.9721236155394359E-2" maxValue="4.831036287680659"/>
    </cacheField>
    <cacheField name="StDevOfAverage" numFmtId="0">
      <sharedItems containsSemiMixedTypes="0" containsString="0" containsNumber="1" minValue="0" maxValue="3.7764247705829479E-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2.7014915395151946E-2"/>
    </cacheField>
    <cacheField name="MinimumAverage" numFmtId="0">
      <sharedItems containsSemiMixedTypes="0" containsString="0" containsNumber="1" minValue="2.0225700754551199E-2" maxValue="4.7851917460602902"/>
    </cacheField>
    <cacheField name="MaximumAverage" numFmtId="0">
      <sharedItems containsSemiMixedTypes="0" containsString="0" containsNumber="1" minValue="3.8204494131751601E-2" maxValue="4.8974164543117702"/>
    </cacheField>
    <cacheField name="SummaryHalfWidth" numFmtId="0">
      <sharedItems containsSemiMixedTypes="0" containsString="0" containsNumber="1" minValue="0" maxValue="2.701491539515194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856578587962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85657916667" createdVersion="7" refreshedVersion="8" minRefreshableVersion="3" recordCount="8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102">
        <s v="Byggsats"/>
        <s v="Ny Montering.Queue"/>
        <s v="Reparation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27.777292305482401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20.145418821292001"/>
    </cacheField>
    <cacheField name="Maximum" numFmtId="0">
      <sharedItems containsSemiMixedTypes="0" containsString="0" containsNumber="1" minValue="0" maxValue="183.10653952551701"/>
    </cacheField>
    <cacheField name="NumberObservations" numFmtId="0">
      <sharedItems containsSemiMixedTypes="0" containsString="0" containsNumber="1" containsInteger="1" minValue="231" maxValue="3543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OfAverage" numFmtId="0">
      <sharedItems containsSemiMixedTypes="0" containsString="0" containsNumber="1" minValue="0" maxValue="27.435787546643649"/>
    </cacheField>
    <cacheField name="StDevOfAverage" numFmtId="0">
      <sharedItems containsSemiMixedTypes="0" containsString="0" containsNumber="1" minValue="0" maxValue="0.3046720704836976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21794926967689421"/>
    </cacheField>
    <cacheField name="MinimumAverage" numFmtId="0">
      <sharedItems containsSemiMixedTypes="0" containsString="0" containsNumber="1" minValue="0" maxValue="27.017720324189501"/>
    </cacheField>
    <cacheField name="MaximumAverage" numFmtId="0">
      <sharedItems containsSemiMixedTypes="0" containsString="0" containsNumber="1" minValue="0" maxValue="27.777292305482401"/>
    </cacheField>
    <cacheField name="OverallMinimum" numFmtId="0">
      <sharedItems containsSemiMixedTypes="0" containsString="0" containsNumber="1" minValue="0" maxValue="19.469642542509501"/>
    </cacheField>
    <cacheField name="OverallMaximum" numFmtId="0">
      <sharedItems containsSemiMixedTypes="0" containsString="0" containsNumber="1" minValue="0" maxValue="183.10653952551701"/>
    </cacheField>
    <cacheField name="AverageNumberObservations" numFmtId="0">
      <sharedItems containsSemiMixedTypes="0" containsString="0" containsNumber="1" minValue="258.7" maxValue="3523.6"/>
    </cacheField>
    <cacheField name="SummaryHalfWidth" numFmtId="0">
      <sharedItems containsSemiMixedTypes="0" containsString="0" containsNumber="1" minValue="0" maxValue="0.21794926967689421"/>
    </cacheField>
    <cacheField name="RepsWithStatObserved" numFmtId="0">
      <sharedItems containsSemiMixedTypes="0" containsString="0" containsNumber="1" containsInteger="1" minValue="10" maxValue="1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075.856580092594" createdVersion="7" refreshedVersion="8" minRefreshableVersion="3" recordCount="12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0"/>
    </cacheField>
    <cacheField name="Name" numFmtId="0">
      <sharedItems containsBlank="1" count="90">
        <s v="Byggsats.NumberIn"/>
        <s v="Byggsats.NumberOut"/>
        <s v="Op1.NumberSeized"/>
        <s v="Op1.ScheduledUtilization"/>
        <s v="Op2.NumberSeized"/>
        <s v="Op2.ScheduledUtilization"/>
        <s v="Op3.NumberSeized"/>
        <s v="Op3.ScheduledUtilization"/>
        <s v="Op4.NumberSeized"/>
        <s v="Op4.ScheduledUtilization"/>
        <s v="System.NumberOut"/>
        <s v="tidiSysteme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8">
        <s v="Number In"/>
        <s v="Number Out"/>
        <s v="Total Number Seized"/>
        <s v="Scheduled Utilization"/>
        <s v="Output"/>
        <m u="1"/>
        <s v="Accum VA Time" u="1"/>
        <s v="Accum Wait Time" u="1"/>
      </sharedItems>
    </cacheField>
    <cacheField name="Source" numFmtId="0">
      <sharedItems containsBlank="1" count="6">
        <s v="Entity"/>
        <s v="Resource"/>
        <s v="System"/>
        <s v="User Specified"/>
        <m u="1"/>
        <s v="Process" u="1"/>
      </sharedItems>
    </cacheField>
    <cacheField name="RecordedValue" numFmtId="0">
      <sharedItems containsSemiMixedTypes="0" containsString="0" containsNumber="1" minValue="0.58095472748131705" maxValue="354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0" maxValue="10"/>
    </cacheField>
    <cacheField name="Average" numFmtId="0">
      <sharedItems containsSemiMixedTypes="0" containsString="0" containsNumber="1" minValue="0.59561658015121266" maxValue="3523.8"/>
    </cacheField>
    <cacheField name="StandardDeviation" numFmtId="0">
      <sharedItems containsSemiMixedTypes="0" containsString="0" containsNumber="1" minValue="0" maxValue="16.434719346554107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11.75668998224717"/>
    </cacheField>
    <cacheField name="Minimum" numFmtId="0">
      <sharedItems containsSemiMixedTypes="0" containsString="0" containsNumber="1" minValue="0.58095472748131705" maxValue="3509"/>
    </cacheField>
    <cacheField name="Maximum" numFmtId="0">
      <sharedItems containsSemiMixedTypes="0" containsString="0" containsNumber="1" minValue="0.60761888382065699" maxValue="35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6-02-22 20:33:07"/>
    <n v="1"/>
    <x v="0"/>
    <x v="0"/>
    <x v="0"/>
    <n v="4.8362574489281203"/>
    <n v="8.4495287503047203E-2"/>
    <n v="0"/>
    <n v="11"/>
    <n v="4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1"/>
    <x v="1"/>
    <x v="1"/>
    <x v="1"/>
    <n v="3.7350523934578501E-2"/>
    <n v="1.55986721299408E-2"/>
    <n v="0"/>
    <n v="3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1"/>
    <x v="2"/>
    <x v="2"/>
    <x v="2"/>
    <n v="0.59620888008069395"/>
    <n v="1.65351681397445E-2"/>
    <n v="0"/>
    <n v="1"/>
    <n v="0.5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1"/>
    <x v="2"/>
    <x v="3"/>
    <x v="2"/>
    <n v="1.1924177601613899"/>
    <n v="3.3070336279489E-2"/>
    <n v="0"/>
    <n v="2"/>
    <n v="1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1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1"/>
    <x v="3"/>
    <x v="2"/>
    <x v="2"/>
    <n v="0.799831472781113"/>
    <n v="1.01469705951041E-2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1"/>
    <x v="3"/>
    <x v="3"/>
    <x v="2"/>
    <n v="0.799831472781113"/>
    <n v="1.01469705951041E-2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1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1"/>
    <x v="4"/>
    <x v="2"/>
    <x v="2"/>
    <n v="0.83110931714036895"/>
    <n v="8.4310046587979994E-3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1"/>
    <x v="4"/>
    <x v="3"/>
    <x v="2"/>
    <n v="0.83110931714036895"/>
    <n v="8.4310046587979994E-3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1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1"/>
    <x v="5"/>
    <x v="2"/>
    <x v="2"/>
    <n v="0.83225506041071495"/>
    <n v="1.03497356734325E-2"/>
    <n v="0"/>
    <n v="1"/>
    <n v="0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1"/>
    <x v="5"/>
    <x v="3"/>
    <x v="2"/>
    <n v="0.83225506041071495"/>
    <n v="1.03497356734325E-2"/>
    <n v="0"/>
    <n v="1"/>
    <n v="0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1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1"/>
    <x v="6"/>
    <x v="1"/>
    <x v="1"/>
    <n v="0.10603630714020899"/>
    <n v="2E+20"/>
    <n v="0"/>
    <n v="3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2"/>
    <x v="0"/>
    <x v="0"/>
    <x v="0"/>
    <n v="4.7862750253807"/>
    <n v="8.7401097634280306E-2"/>
    <n v="0"/>
    <n v="9"/>
    <n v="5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2"/>
    <x v="1"/>
    <x v="1"/>
    <x v="1"/>
    <n v="2.8161786096132801E-2"/>
    <n v="1.1215500469225301E-2"/>
    <n v="0"/>
    <n v="3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2"/>
    <x v="2"/>
    <x v="2"/>
    <x v="2"/>
    <n v="0.58095472748131705"/>
    <n v="1.8068169626894E-2"/>
    <n v="0"/>
    <n v="1"/>
    <n v="0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2"/>
    <x v="2"/>
    <x v="3"/>
    <x v="2"/>
    <n v="1.1619094549626301"/>
    <n v="3.6136339253788098E-2"/>
    <n v="0"/>
    <n v="2"/>
    <n v="0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2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2"/>
    <x v="3"/>
    <x v="2"/>
    <x v="2"/>
    <n v="0.806115411518457"/>
    <n v="9.9719048664437693E-3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2"/>
    <x v="3"/>
    <x v="3"/>
    <x v="2"/>
    <n v="0.806115411518457"/>
    <n v="9.9719048664437693E-3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2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2"/>
    <x v="4"/>
    <x v="2"/>
    <x v="2"/>
    <n v="0.82977880197910603"/>
    <n v="9.4296309304644204E-3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2"/>
    <x v="4"/>
    <x v="3"/>
    <x v="2"/>
    <n v="0.82977880197910603"/>
    <n v="9.4296309304644204E-3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2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2"/>
    <x v="5"/>
    <x v="2"/>
    <x v="2"/>
    <n v="0.830596563080927"/>
    <n v="8.9056503170819208E-3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2"/>
    <x v="5"/>
    <x v="3"/>
    <x v="2"/>
    <n v="0.830596563080927"/>
    <n v="8.9056503170819208E-3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2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2"/>
    <x v="6"/>
    <x v="1"/>
    <x v="1"/>
    <n v="0.10040247950225099"/>
    <n v="2E+20"/>
    <n v="0"/>
    <n v="3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3"/>
    <x v="0"/>
    <x v="0"/>
    <x v="0"/>
    <n v="4.81872204924057"/>
    <n v="9.8701256735505893E-2"/>
    <n v="0"/>
    <n v="11"/>
    <n v="5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3"/>
    <x v="1"/>
    <x v="1"/>
    <x v="1"/>
    <n v="3.7494893099136901E-2"/>
    <n v="2.1447079340136399E-2"/>
    <n v="0"/>
    <n v="5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3"/>
    <x v="2"/>
    <x v="2"/>
    <x v="2"/>
    <n v="0.59213389015754403"/>
    <n v="3E+20"/>
    <n v="0"/>
    <n v="1"/>
    <n v="0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3"/>
    <x v="2"/>
    <x v="3"/>
    <x v="2"/>
    <n v="1.1842677803150901"/>
    <n v="3E+20"/>
    <n v="0"/>
    <n v="2"/>
    <n v="0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3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3"/>
    <x v="3"/>
    <x v="2"/>
    <x v="2"/>
    <n v="0.802957038593899"/>
    <n v="8.6775976788474995E-3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3"/>
    <x v="3"/>
    <x v="3"/>
    <x v="2"/>
    <n v="0.802957038593899"/>
    <n v="8.6775976788474995E-3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3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3"/>
    <x v="4"/>
    <x v="2"/>
    <x v="2"/>
    <n v="0.82935623531965497"/>
    <n v="1.05301596525543E-2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3"/>
    <x v="4"/>
    <x v="3"/>
    <x v="2"/>
    <n v="0.82935623531965497"/>
    <n v="1.05301596525543E-2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3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3"/>
    <x v="5"/>
    <x v="2"/>
    <x v="2"/>
    <n v="0.83152303682254802"/>
    <n v="9.3049498985442701E-3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3"/>
    <x v="5"/>
    <x v="3"/>
    <x v="2"/>
    <n v="0.83152303682254802"/>
    <n v="9.3049498985442701E-3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3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3"/>
    <x v="6"/>
    <x v="1"/>
    <x v="1"/>
    <n v="9.9187264146300705E-2"/>
    <n v="2E+20"/>
    <n v="0"/>
    <n v="4"/>
    <n v="2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4"/>
    <x v="0"/>
    <x v="0"/>
    <x v="0"/>
    <n v="4.7954360179062299"/>
    <n v="9.2940434615929199E-2"/>
    <n v="0"/>
    <n v="10"/>
    <n v="4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4"/>
    <x v="1"/>
    <x v="1"/>
    <x v="1"/>
    <n v="2.0225700754551199E-2"/>
    <n v="8.7689624158715992E-3"/>
    <n v="0"/>
    <n v="3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4"/>
    <x v="2"/>
    <x v="2"/>
    <x v="2"/>
    <n v="0.58692356837193405"/>
    <n v="2.17961534115181E-2"/>
    <n v="0"/>
    <n v="1"/>
    <n v="0.5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4"/>
    <x v="2"/>
    <x v="3"/>
    <x v="2"/>
    <n v="1.1738471367438701"/>
    <n v="4.3592306823036199E-2"/>
    <n v="0"/>
    <n v="2"/>
    <n v="1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4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4"/>
    <x v="3"/>
    <x v="2"/>
    <x v="2"/>
    <n v="0.80401750740523303"/>
    <n v="9.5139072099963695E-3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4"/>
    <x v="3"/>
    <x v="3"/>
    <x v="2"/>
    <n v="0.80401750740523303"/>
    <n v="9.5139072099963695E-3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4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4"/>
    <x v="4"/>
    <x v="2"/>
    <x v="2"/>
    <n v="0.83250004294119695"/>
    <n v="9.1128138089070099E-3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4"/>
    <x v="4"/>
    <x v="3"/>
    <x v="2"/>
    <n v="0.83250004294119695"/>
    <n v="9.1128138089070099E-3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4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4"/>
    <x v="5"/>
    <x v="2"/>
    <x v="2"/>
    <n v="0.82907913713772696"/>
    <n v="1.05654549379467E-2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4"/>
    <x v="5"/>
    <x v="3"/>
    <x v="2"/>
    <n v="0.82907913713772696"/>
    <n v="1.05654549379467E-2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4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4"/>
    <x v="6"/>
    <x v="1"/>
    <x v="1"/>
    <n v="0.100863711789314"/>
    <n v="2E+20"/>
    <n v="0"/>
    <n v="2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5"/>
    <x v="0"/>
    <x v="0"/>
    <x v="0"/>
    <n v="4.7851917460602902"/>
    <n v="3E+20"/>
    <n v="0"/>
    <n v="9"/>
    <n v="4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5"/>
    <x v="1"/>
    <x v="1"/>
    <x v="1"/>
    <n v="2.0772672364191499E-2"/>
    <n v="3E+20"/>
    <n v="0"/>
    <n v="2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5"/>
    <x v="2"/>
    <x v="2"/>
    <x v="2"/>
    <n v="0.59529994453747503"/>
    <n v="2.2569789928611399E-2"/>
    <n v="0"/>
    <n v="1"/>
    <n v="0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5"/>
    <x v="2"/>
    <x v="3"/>
    <x v="2"/>
    <n v="1.1905998890749501"/>
    <n v="4.5139579857222799E-2"/>
    <n v="0"/>
    <n v="2"/>
    <n v="0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5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5"/>
    <x v="3"/>
    <x v="2"/>
    <x v="2"/>
    <n v="0.79210128641287902"/>
    <n v="3E+20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5"/>
    <x v="3"/>
    <x v="3"/>
    <x v="2"/>
    <n v="0.79210128641287902"/>
    <n v="3E+20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5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5"/>
    <x v="4"/>
    <x v="2"/>
    <x v="2"/>
    <n v="0.82778443412963498"/>
    <n v="3E+20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5"/>
    <x v="4"/>
    <x v="3"/>
    <x v="2"/>
    <n v="0.82778443412963498"/>
    <n v="3E+20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5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5"/>
    <x v="5"/>
    <x v="2"/>
    <x v="2"/>
    <n v="0.82868351310514399"/>
    <n v="8.1982325104403096E-3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5"/>
    <x v="5"/>
    <x v="3"/>
    <x v="2"/>
    <n v="0.82868351310514399"/>
    <n v="8.1982325104403096E-3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5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5"/>
    <x v="6"/>
    <x v="1"/>
    <x v="1"/>
    <n v="8.7958425850064206E-2"/>
    <n v="2E+20"/>
    <n v="0"/>
    <n v="2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6"/>
    <x v="0"/>
    <x v="0"/>
    <x v="0"/>
    <n v="4.8754061475327699"/>
    <n v="8.66219878566582E-2"/>
    <n v="0"/>
    <n v="9"/>
    <n v="5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6"/>
    <x v="1"/>
    <x v="1"/>
    <x v="1"/>
    <n v="3.19829092735716E-2"/>
    <n v="1.0325109054336101E-2"/>
    <n v="0"/>
    <n v="3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6"/>
    <x v="2"/>
    <x v="2"/>
    <x v="2"/>
    <n v="0.60760355435819602"/>
    <n v="1.91351080641383E-2"/>
    <n v="0"/>
    <n v="1"/>
    <n v="0.5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6"/>
    <x v="2"/>
    <x v="3"/>
    <x v="2"/>
    <n v="1.21520710871639"/>
    <n v="3.82702161282766E-2"/>
    <n v="0"/>
    <n v="2"/>
    <n v="1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6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6"/>
    <x v="3"/>
    <x v="2"/>
    <x v="2"/>
    <n v="0.80413625976071701"/>
    <n v="9.8153857902097998E-3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6"/>
    <x v="3"/>
    <x v="3"/>
    <x v="2"/>
    <n v="0.80413625976071701"/>
    <n v="9.8153857902097998E-3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6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6"/>
    <x v="4"/>
    <x v="2"/>
    <x v="2"/>
    <n v="0.83556962527759304"/>
    <n v="7.5367996842534701E-3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6"/>
    <x v="4"/>
    <x v="3"/>
    <x v="2"/>
    <n v="0.83556962527759304"/>
    <n v="7.5367996842534701E-3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6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6"/>
    <x v="5"/>
    <x v="2"/>
    <x v="2"/>
    <n v="0.83348302779352801"/>
    <n v="8.5878976367553608E-3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6"/>
    <x v="5"/>
    <x v="3"/>
    <x v="2"/>
    <n v="0.83348302779352801"/>
    <n v="8.5878976367553608E-3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6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6"/>
    <x v="6"/>
    <x v="1"/>
    <x v="1"/>
    <n v="0.109635061964661"/>
    <n v="2E+20"/>
    <n v="0"/>
    <n v="2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7"/>
    <x v="0"/>
    <x v="0"/>
    <x v="0"/>
    <n v="4.8974164543117702"/>
    <n v="9.8454488160684805E-2"/>
    <n v="0"/>
    <n v="10"/>
    <n v="5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7"/>
    <x v="1"/>
    <x v="1"/>
    <x v="1"/>
    <n v="3.8204494131751601E-2"/>
    <n v="1.1550983884286299E-2"/>
    <n v="0"/>
    <n v="3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7"/>
    <x v="2"/>
    <x v="2"/>
    <x v="2"/>
    <n v="0.60761888382065699"/>
    <n v="2.1465170726036799E-2"/>
    <n v="0"/>
    <n v="1"/>
    <n v="0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7"/>
    <x v="2"/>
    <x v="3"/>
    <x v="2"/>
    <n v="1.21523776764131"/>
    <n v="4.2930341452073598E-2"/>
    <n v="0"/>
    <n v="2"/>
    <n v="0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7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7"/>
    <x v="3"/>
    <x v="2"/>
    <x v="2"/>
    <n v="0.80913537591663398"/>
    <n v="8.5580901801202997E-3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7"/>
    <x v="3"/>
    <x v="3"/>
    <x v="2"/>
    <n v="0.80913537591663398"/>
    <n v="8.5580901801202997E-3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7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7"/>
    <x v="4"/>
    <x v="2"/>
    <x v="2"/>
    <n v="0.83288388141004499"/>
    <n v="1.09870612838435E-2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7"/>
    <x v="4"/>
    <x v="3"/>
    <x v="2"/>
    <n v="0.83288388141004499"/>
    <n v="1.09870612838435E-2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7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7"/>
    <x v="5"/>
    <x v="2"/>
    <x v="2"/>
    <n v="0.83908808891262199"/>
    <n v="8.6226898323251699E-3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7"/>
    <x v="5"/>
    <x v="3"/>
    <x v="2"/>
    <n v="0.83908808891262199"/>
    <n v="8.6226898323251699E-3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7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7"/>
    <x v="6"/>
    <x v="1"/>
    <x v="1"/>
    <n v="0.11156380554871401"/>
    <n v="2E+20"/>
    <n v="0"/>
    <n v="2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8"/>
    <x v="0"/>
    <x v="0"/>
    <x v="0"/>
    <n v="4.8505835202279197"/>
    <n v="8.7061086305162502E-2"/>
    <n v="0"/>
    <n v="10"/>
    <n v="4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8"/>
    <x v="1"/>
    <x v="1"/>
    <x v="1"/>
    <n v="2.6052143122495701E-2"/>
    <n v="8.7738118093786607E-3"/>
    <n v="0"/>
    <n v="2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8"/>
    <x v="2"/>
    <x v="2"/>
    <x v="2"/>
    <n v="0.59528944895696501"/>
    <n v="2.0985743204357601E-2"/>
    <n v="0"/>
    <n v="1"/>
    <n v="0.5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8"/>
    <x v="2"/>
    <x v="3"/>
    <x v="2"/>
    <n v="1.19057889791393"/>
    <n v="4.1971486408715203E-2"/>
    <n v="0"/>
    <n v="2"/>
    <n v="1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8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8"/>
    <x v="3"/>
    <x v="2"/>
    <x v="2"/>
    <n v="0.80586278928597399"/>
    <n v="8.3604903314343608E-3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8"/>
    <x v="3"/>
    <x v="3"/>
    <x v="2"/>
    <n v="0.80586278928597399"/>
    <n v="8.3604903314343608E-3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8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8"/>
    <x v="4"/>
    <x v="2"/>
    <x v="2"/>
    <n v="0.83459722885795196"/>
    <n v="8.2625446415589103E-3"/>
    <n v="0"/>
    <n v="1"/>
    <n v="0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8"/>
    <x v="4"/>
    <x v="3"/>
    <x v="2"/>
    <n v="0.83459722885795196"/>
    <n v="8.2625446415589103E-3"/>
    <n v="0"/>
    <n v="1"/>
    <n v="0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8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8"/>
    <x v="5"/>
    <x v="2"/>
    <x v="2"/>
    <n v="0.83882879042182301"/>
    <n v="8.6040314211386203E-3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8"/>
    <x v="5"/>
    <x v="3"/>
    <x v="2"/>
    <n v="0.83882879042182301"/>
    <n v="8.6040314211386203E-3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8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8"/>
    <x v="6"/>
    <x v="1"/>
    <x v="1"/>
    <n v="0.10789531478836099"/>
    <n v="2E+20"/>
    <n v="0"/>
    <n v="2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9"/>
    <x v="0"/>
    <x v="0"/>
    <x v="0"/>
    <n v="4.8163807816473199"/>
    <n v="8.2669852407818406E-2"/>
    <n v="0"/>
    <n v="10"/>
    <n v="4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9"/>
    <x v="1"/>
    <x v="1"/>
    <x v="1"/>
    <n v="2.68108856092555E-2"/>
    <n v="8.6567541140943303E-3"/>
    <n v="0"/>
    <n v="3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9"/>
    <x v="2"/>
    <x v="2"/>
    <x v="2"/>
    <n v="0.59666349377163097"/>
    <n v="2.00269942423754E-2"/>
    <n v="0"/>
    <n v="1"/>
    <n v="0.5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9"/>
    <x v="2"/>
    <x v="3"/>
    <x v="2"/>
    <n v="1.1933269875432599"/>
    <n v="4.0053988484750801E-2"/>
    <n v="0"/>
    <n v="2"/>
    <n v="1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9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9"/>
    <x v="3"/>
    <x v="2"/>
    <x v="2"/>
    <n v="0.79679566284641001"/>
    <n v="3E+20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9"/>
    <x v="3"/>
    <x v="3"/>
    <x v="2"/>
    <n v="0.79679566284641001"/>
    <n v="3E+20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9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9"/>
    <x v="4"/>
    <x v="2"/>
    <x v="2"/>
    <n v="0.83424289436680299"/>
    <n v="8.3751029767661807E-3"/>
    <n v="0"/>
    <n v="1"/>
    <n v="1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9"/>
    <x v="4"/>
    <x v="3"/>
    <x v="2"/>
    <n v="0.83424289436680299"/>
    <n v="8.3751029767661807E-3"/>
    <n v="0"/>
    <n v="1"/>
    <n v="1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9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9"/>
    <x v="5"/>
    <x v="2"/>
    <x v="2"/>
    <n v="0.82692860079846797"/>
    <n v="7.0055792882769896E-3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9"/>
    <x v="5"/>
    <x v="3"/>
    <x v="2"/>
    <n v="0.82692860079846797"/>
    <n v="7.0055792882769896E-3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9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9"/>
    <x v="6"/>
    <x v="1"/>
    <x v="1"/>
    <n v="0.100285455854392"/>
    <n v="2E+20"/>
    <n v="0"/>
    <n v="2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  <r>
    <x v="0"/>
    <s v="2026-02-22 20:33:07"/>
    <n v="10"/>
    <x v="0"/>
    <x v="0"/>
    <x v="0"/>
    <n v="4.8486936855709004"/>
    <n v="9.08547076832565E-2"/>
    <n v="0"/>
    <n v="9"/>
    <n v="5"/>
    <n v="0"/>
    <s v="Unnamed ProjectByggsatsWIPEntity"/>
    <n v="10"/>
    <n v="4.831036287680659"/>
    <n v="3.7764247705829479E-2"/>
    <n v="0.95"/>
    <n v="2.7014915395151946E-2"/>
    <n v="4.7851917460602902"/>
    <n v="4.8974164543117702"/>
    <n v="2.7014915395151946E-2"/>
  </r>
  <r>
    <x v="0"/>
    <s v="2026-02-22 20:33:07"/>
    <n v="10"/>
    <x v="1"/>
    <x v="1"/>
    <x v="1"/>
    <n v="3.0156353168278301E-2"/>
    <n v="9.3413617667132201E-3"/>
    <n v="0"/>
    <n v="3"/>
    <n v="0"/>
    <n v="0"/>
    <s v="Unnamed ProjectNy Montering.QueueNumber WaitingQueue"/>
    <n v="10"/>
    <n v="2.9721236155394359E-2"/>
    <n v="6.5871270693099206E-3"/>
    <n v="0.95"/>
    <n v="4.7121468395371572E-3"/>
    <n v="2.0225700754551199E-2"/>
    <n v="3.8204494131751601E-2"/>
    <n v="4.7121468395371572E-3"/>
  </r>
  <r>
    <x v="0"/>
    <s v="2026-02-22 20:33:07"/>
    <n v="10"/>
    <x v="2"/>
    <x v="2"/>
    <x v="2"/>
    <n v="0.59746940997571296"/>
    <n v="1.8140729385796601E-2"/>
    <n v="0"/>
    <n v="1"/>
    <n v="1"/>
    <n v="0"/>
    <s v="Unnamed ProjectOp1Instantaneous UtilizationResource"/>
    <n v="10"/>
    <n v="0.59561658015121266"/>
    <n v="8.1342721434722529E-3"/>
    <n v="0.95"/>
    <n v="5.8189077528776768E-3"/>
    <n v="0.58095472748131705"/>
    <n v="0.60761888382065699"/>
    <n v="5.8189077528776768E-3"/>
  </r>
  <r>
    <x v="0"/>
    <s v="2026-02-22 20:33:07"/>
    <n v="10"/>
    <x v="2"/>
    <x v="3"/>
    <x v="2"/>
    <n v="1.1949388199514299"/>
    <n v="3.6281458771593202E-2"/>
    <n v="0"/>
    <n v="2"/>
    <n v="2"/>
    <n v="0"/>
    <s v="Unnamed ProjectOp1Number BusyResource"/>
    <n v="10"/>
    <n v="1.1912331603024251"/>
    <n v="1.6268544286944082E-2"/>
    <n v="0.95"/>
    <n v="1.1637815505755052E-2"/>
    <n v="1.1619094549626301"/>
    <n v="1.21523776764131"/>
    <n v="1.1637815505755052E-2"/>
  </r>
  <r>
    <x v="0"/>
    <s v="2026-02-22 20:33:07"/>
    <n v="10"/>
    <x v="2"/>
    <x v="4"/>
    <x v="2"/>
    <n v="2"/>
    <n v="2E+20"/>
    <n v="2"/>
    <n v="2"/>
    <n v="2"/>
    <n v="0"/>
    <s v="Unnamed ProjectOp1Number ScheduledResource"/>
    <n v="10"/>
    <n v="2"/>
    <n v="0"/>
    <n v="0.95"/>
    <n v="0"/>
    <n v="2"/>
    <n v="2"/>
    <n v="0"/>
  </r>
  <r>
    <x v="0"/>
    <s v="2026-02-22 20:33:07"/>
    <n v="10"/>
    <x v="3"/>
    <x v="2"/>
    <x v="2"/>
    <n v="0.80509912008322904"/>
    <n v="1.0207517318317001E-2"/>
    <n v="0"/>
    <n v="1"/>
    <n v="1"/>
    <n v="0"/>
    <s v="Unnamed ProjectOp2Instantaneous Utilization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10"/>
    <x v="3"/>
    <x v="3"/>
    <x v="2"/>
    <n v="0.80509912008322904"/>
    <n v="1.0207517318317001E-2"/>
    <n v="0"/>
    <n v="1"/>
    <n v="1"/>
    <n v="0"/>
    <s v="Unnamed ProjectOp2Number BusyResource"/>
    <n v="10"/>
    <n v="0.80260519246045448"/>
    <n v="5.033613012173632E-3"/>
    <n v="0.95"/>
    <n v="3.6008298302422069E-3"/>
    <n v="0.79210128641287902"/>
    <n v="0.80913537591663398"/>
    <n v="3.6008298302422069E-3"/>
  </r>
  <r>
    <x v="0"/>
    <s v="2026-02-22 20:33:07"/>
    <n v="10"/>
    <x v="3"/>
    <x v="4"/>
    <x v="2"/>
    <n v="1"/>
    <n v="2E+20"/>
    <n v="1"/>
    <n v="1"/>
    <n v="1"/>
    <n v="0"/>
    <s v="Unnamed ProjectOp2Number ScheduledResource"/>
    <n v="10"/>
    <n v="1"/>
    <n v="0"/>
    <n v="0.95"/>
    <n v="0"/>
    <n v="1"/>
    <n v="1"/>
    <n v="0"/>
  </r>
  <r>
    <x v="0"/>
    <s v="2026-02-22 20:33:07"/>
    <n v="10"/>
    <x v="4"/>
    <x v="2"/>
    <x v="2"/>
    <n v="0.835591266164598"/>
    <n v="1.08945180028065E-2"/>
    <n v="0"/>
    <n v="1"/>
    <n v="0"/>
    <n v="0"/>
    <s v="Unnamed ProjectOp3Instantaneous Utilization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10"/>
    <x v="4"/>
    <x v="3"/>
    <x v="2"/>
    <n v="0.835591266164598"/>
    <n v="1.08945180028065E-2"/>
    <n v="0"/>
    <n v="1"/>
    <n v="0"/>
    <n v="0"/>
    <s v="Unnamed ProjectOp3Number BusyResource"/>
    <n v="10"/>
    <n v="0.83234137275869524"/>
    <n v="2.7440653084185238E-3"/>
    <n v="0.95"/>
    <n v="1.9629860688117127E-3"/>
    <n v="0.82778443412963498"/>
    <n v="0.835591266164598"/>
    <n v="1.9629860688117127E-3"/>
  </r>
  <r>
    <x v="0"/>
    <s v="2026-02-22 20:33:07"/>
    <n v="10"/>
    <x v="4"/>
    <x v="4"/>
    <x v="2"/>
    <n v="1"/>
    <n v="2E+20"/>
    <n v="1"/>
    <n v="1"/>
    <n v="1"/>
    <n v="0"/>
    <s v="Unnamed ProjectOp3Number ScheduledResource"/>
    <n v="10"/>
    <n v="1"/>
    <n v="0"/>
    <n v="0.95"/>
    <n v="0"/>
    <n v="1"/>
    <n v="1"/>
    <n v="0"/>
  </r>
  <r>
    <x v="0"/>
    <s v="2026-02-22 20:33:07"/>
    <n v="10"/>
    <x v="5"/>
    <x v="2"/>
    <x v="2"/>
    <n v="0.83494662299400701"/>
    <n v="1.08179486895534E-2"/>
    <n v="0"/>
    <n v="1"/>
    <n v="1"/>
    <n v="0"/>
    <s v="Unnamed ProjectOp4Instantaneous Utilization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10"/>
    <x v="5"/>
    <x v="3"/>
    <x v="2"/>
    <n v="0.83494662299400701"/>
    <n v="1.08179486895534E-2"/>
    <n v="0"/>
    <n v="1"/>
    <n v="1"/>
    <n v="0"/>
    <s v="Unnamed ProjectOp4Number BusyResource"/>
    <n v="10"/>
    <n v="0.83254124414775088"/>
    <n v="4.1141718378968446E-3"/>
    <n v="0.95"/>
    <n v="2.9431012365895297E-3"/>
    <n v="0.82692860079846797"/>
    <n v="0.83908808891262199"/>
    <n v="2.9431012365895297E-3"/>
  </r>
  <r>
    <x v="0"/>
    <s v="2026-02-22 20:33:07"/>
    <n v="10"/>
    <x v="5"/>
    <x v="4"/>
    <x v="2"/>
    <n v="1"/>
    <n v="2E+20"/>
    <n v="1"/>
    <n v="1"/>
    <n v="1"/>
    <n v="0"/>
    <s v="Unnamed ProjectOp4Number ScheduledResource"/>
    <n v="10"/>
    <n v="1"/>
    <n v="0"/>
    <n v="0.95"/>
    <n v="0"/>
    <n v="1"/>
    <n v="1"/>
    <n v="0"/>
  </r>
  <r>
    <x v="0"/>
    <s v="2026-02-22 20:33:07"/>
    <n v="10"/>
    <x v="6"/>
    <x v="1"/>
    <x v="1"/>
    <n v="0.10833437711697801"/>
    <n v="2E+20"/>
    <n v="0"/>
    <n v="2"/>
    <n v="0"/>
    <n v="0"/>
    <s v="Unnamed ProjectReparation.QueueNumber WaitingQueue"/>
    <n v="10"/>
    <n v="0.10321622037012448"/>
    <n v="6.9761470183234966E-3"/>
    <n v="0.95"/>
    <n v="4.9904349466243737E-3"/>
    <n v="8.7958425850064206E-2"/>
    <n v="0.11156380554871401"/>
    <n v="4.9904349466243737E-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s v="2026-02-22 20:33:07"/>
    <n v="1"/>
    <x v="0"/>
    <x v="0"/>
    <x v="0"/>
    <n v="0"/>
    <n v="0"/>
    <n v="0"/>
    <n v="0"/>
    <n v="3513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1"/>
    <x v="0"/>
    <x v="1"/>
    <x v="0"/>
    <n v="0"/>
    <n v="0"/>
    <n v="0"/>
    <n v="0"/>
    <n v="3513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1"/>
    <x v="0"/>
    <x v="2"/>
    <x v="0"/>
    <n v="27.5189474316815"/>
    <n v="0.39455923358902201"/>
    <n v="19.632231432279699"/>
    <n v="179.123890729799"/>
    <n v="3513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1"/>
    <x v="0"/>
    <x v="3"/>
    <x v="0"/>
    <n v="1.6093460869137299"/>
    <n v="1.49284481976923E-2"/>
    <n v="1.0278678597705899"/>
    <n v="5.6739712120906898"/>
    <n v="3513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1"/>
    <x v="0"/>
    <x v="4"/>
    <x v="0"/>
    <n v="25.093280074771801"/>
    <n v="0.25338907173000502"/>
    <n v="18.337119251947101"/>
    <n v="115.90255585217901"/>
    <n v="3513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1"/>
    <x v="0"/>
    <x v="5"/>
    <x v="0"/>
    <n v="0.81632126999594201"/>
    <n v="0.16029326977570099"/>
    <n v="0"/>
    <n v="57.547363665529701"/>
    <n v="3513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2"/>
    <x v="0"/>
    <x v="0"/>
    <x v="0"/>
    <n v="0"/>
    <n v="0"/>
    <n v="0"/>
    <n v="0"/>
    <n v="3507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2"/>
    <x v="0"/>
    <x v="1"/>
    <x v="0"/>
    <n v="0"/>
    <n v="0"/>
    <n v="0"/>
    <n v="0"/>
    <n v="3507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2"/>
    <x v="0"/>
    <x v="2"/>
    <x v="0"/>
    <n v="27.275829708156401"/>
    <n v="0.39334019032259099"/>
    <n v="19.9135683020613"/>
    <n v="183.10653952551701"/>
    <n v="3507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2"/>
    <x v="0"/>
    <x v="3"/>
    <x v="0"/>
    <n v="1.60433127864298"/>
    <n v="1.14883679586344E-2"/>
    <n v="1.0045948641982201"/>
    <n v="5.46986357418427"/>
    <n v="3507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2"/>
    <x v="0"/>
    <x v="4"/>
    <x v="0"/>
    <n v="24.938465726991701"/>
    <n v="0.23381425173399301"/>
    <n v="18.575474380365002"/>
    <n v="115.438268481845"/>
    <n v="3507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2"/>
    <x v="0"/>
    <x v="5"/>
    <x v="0"/>
    <n v="0.73303270252177199"/>
    <n v="0.17296611225414901"/>
    <n v="0"/>
    <n v="62.198407469488302"/>
    <n v="3507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3"/>
    <x v="0"/>
    <x v="0"/>
    <x v="0"/>
    <n v="0"/>
    <n v="0"/>
    <n v="0"/>
    <n v="0"/>
    <n v="3504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3"/>
    <x v="0"/>
    <x v="1"/>
    <x v="0"/>
    <n v="0"/>
    <n v="0"/>
    <n v="0"/>
    <n v="0"/>
    <n v="3504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3"/>
    <x v="0"/>
    <x v="2"/>
    <x v="0"/>
    <n v="27.468906727404001"/>
    <n v="0.41324898549494199"/>
    <n v="19.576338551263699"/>
    <n v="121.927244553213"/>
    <n v="3504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3"/>
    <x v="0"/>
    <x v="3"/>
    <x v="0"/>
    <n v="1.60602391070007"/>
    <n v="1.54352788949588E-2"/>
    <n v="1.01609919659495"/>
    <n v="5.2488174968184502"/>
    <n v="3504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3"/>
    <x v="0"/>
    <x v="4"/>
    <x v="0"/>
    <n v="25.089827528602299"/>
    <n v="0.24375486689496101"/>
    <n v="18.287562009702899"/>
    <n v="89.179824055408105"/>
    <n v="3504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3"/>
    <x v="0"/>
    <x v="5"/>
    <x v="0"/>
    <n v="0.77305528810162505"/>
    <n v="0.201285173365752"/>
    <n v="0"/>
    <n v="31.4124531188445"/>
    <n v="3504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4"/>
    <x v="0"/>
    <x v="0"/>
    <x v="0"/>
    <n v="0"/>
    <n v="0"/>
    <n v="0"/>
    <n v="0"/>
    <n v="3510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4"/>
    <x v="0"/>
    <x v="1"/>
    <x v="0"/>
    <n v="0"/>
    <n v="0"/>
    <n v="0"/>
    <n v="0"/>
    <n v="3510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4"/>
    <x v="0"/>
    <x v="2"/>
    <x v="0"/>
    <n v="27.314156602570598"/>
    <n v="0.42344026875267199"/>
    <n v="19.557725984832398"/>
    <n v="128.13162801606401"/>
    <n v="3510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4"/>
    <x v="0"/>
    <x v="3"/>
    <x v="0"/>
    <n v="1.6064668298986899"/>
    <n v="1.90777028369646E-2"/>
    <n v="1.0211104643326501"/>
    <n v="5.9654818770468401"/>
    <n v="3510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4"/>
    <x v="0"/>
    <x v="4"/>
    <x v="0"/>
    <n v="25.017721610028701"/>
    <n v="0.292492049106306"/>
    <n v="18.312691997592999"/>
    <n v="107.162140976568"/>
    <n v="3510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4"/>
    <x v="0"/>
    <x v="5"/>
    <x v="0"/>
    <n v="0.68996816264310901"/>
    <n v="0.13603131333694299"/>
    <n v="0"/>
    <n v="33.510249095828797"/>
    <n v="3510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5"/>
    <x v="0"/>
    <x v="0"/>
    <x v="0"/>
    <n v="0"/>
    <n v="0"/>
    <n v="0"/>
    <n v="0"/>
    <n v="3539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5"/>
    <x v="0"/>
    <x v="1"/>
    <x v="0"/>
    <n v="0"/>
    <n v="0"/>
    <n v="0"/>
    <n v="0"/>
    <n v="3539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5"/>
    <x v="0"/>
    <x v="2"/>
    <x v="0"/>
    <n v="27.017720324189501"/>
    <n v="3E+20"/>
    <n v="19.839432378774301"/>
    <n v="121.597826615778"/>
    <n v="3539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5"/>
    <x v="0"/>
    <x v="3"/>
    <x v="0"/>
    <n v="1.5991853308200901"/>
    <n v="1.6527569049022101E-2"/>
    <n v="1.0080416619730399"/>
    <n v="4.8148109899593701"/>
    <n v="3539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5"/>
    <x v="0"/>
    <x v="4"/>
    <x v="0"/>
    <n v="24.804631259907101"/>
    <n v="3E+20"/>
    <n v="18.512891691129902"/>
    <n v="86.640221547770096"/>
    <n v="3539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5"/>
    <x v="0"/>
    <x v="5"/>
    <x v="0"/>
    <n v="0.61390373346231197"/>
    <n v="3E+20"/>
    <n v="0"/>
    <n v="32.618879170073299"/>
    <n v="3539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6"/>
    <x v="0"/>
    <x v="0"/>
    <x v="0"/>
    <n v="0"/>
    <n v="0"/>
    <n v="0"/>
    <n v="0"/>
    <n v="3526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6"/>
    <x v="0"/>
    <x v="1"/>
    <x v="0"/>
    <n v="0"/>
    <n v="0"/>
    <n v="0"/>
    <n v="0"/>
    <n v="3526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6"/>
    <x v="0"/>
    <x v="2"/>
    <x v="0"/>
    <n v="27.629106844084799"/>
    <n v="0.48001729709590202"/>
    <n v="19.901516916177599"/>
    <n v="129.581268630968"/>
    <n v="3526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6"/>
    <x v="0"/>
    <x v="3"/>
    <x v="0"/>
    <n v="1.61305540539911"/>
    <n v="2.1922802686193E-2"/>
    <n v="1.0062035138944301"/>
    <n v="5.03608275182523"/>
    <n v="3526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6"/>
    <x v="0"/>
    <x v="4"/>
    <x v="0"/>
    <n v="25.212843204429898"/>
    <n v="0.30972693663198098"/>
    <n v="18.508709530992601"/>
    <n v="89.760691955805697"/>
    <n v="3526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6"/>
    <x v="0"/>
    <x v="5"/>
    <x v="0"/>
    <n v="0.80320823425587196"/>
    <n v="0.183875314022175"/>
    <n v="0"/>
    <n v="37.736943909923902"/>
    <n v="3526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7"/>
    <x v="0"/>
    <x v="0"/>
    <x v="0"/>
    <n v="0"/>
    <n v="0"/>
    <n v="0"/>
    <n v="0"/>
    <n v="3524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7"/>
    <x v="0"/>
    <x v="1"/>
    <x v="0"/>
    <n v="0"/>
    <n v="0"/>
    <n v="0"/>
    <n v="0"/>
    <n v="3524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7"/>
    <x v="0"/>
    <x v="2"/>
    <x v="0"/>
    <n v="27.777292305482401"/>
    <n v="0.41790655682599498"/>
    <n v="19.760072786970301"/>
    <n v="152.64323083864599"/>
    <n v="3524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7"/>
    <x v="0"/>
    <x v="3"/>
    <x v="0"/>
    <n v="1.6238880135618099"/>
    <n v="1.4568574594979299E-2"/>
    <n v="1.0155725984964199"/>
    <n v="6.0003527804683499"/>
    <n v="3524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7"/>
    <x v="0"/>
    <x v="4"/>
    <x v="0"/>
    <n v="25.303413941861201"/>
    <n v="0.277998957906396"/>
    <n v="18.2562648995827"/>
    <n v="115.003880306957"/>
    <n v="3524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7"/>
    <x v="0"/>
    <x v="5"/>
    <x v="0"/>
    <n v="0.84999035005939505"/>
    <n v="0.154450088308698"/>
    <n v="0"/>
    <n v="39.255306720526299"/>
    <n v="3524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8"/>
    <x v="0"/>
    <x v="0"/>
    <x v="0"/>
    <n v="0"/>
    <n v="0"/>
    <n v="0"/>
    <n v="0"/>
    <n v="3534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8"/>
    <x v="0"/>
    <x v="1"/>
    <x v="0"/>
    <n v="0"/>
    <n v="0"/>
    <n v="0"/>
    <n v="0"/>
    <n v="3534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8"/>
    <x v="0"/>
    <x v="2"/>
    <x v="0"/>
    <n v="27.442038506330601"/>
    <n v="0.343094660051325"/>
    <n v="20.136489792313601"/>
    <n v="139.056577986006"/>
    <n v="3534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8"/>
    <x v="0"/>
    <x v="3"/>
    <x v="0"/>
    <n v="1.61703239385191"/>
    <n v="1.34830510395932E-2"/>
    <n v="1.0155163466097299"/>
    <n v="5.7861110521025703"/>
    <n v="3534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8"/>
    <x v="0"/>
    <x v="4"/>
    <x v="0"/>
    <n v="25.066955982819"/>
    <n v="0.21710368234667801"/>
    <n v="18.6387510861714"/>
    <n v="117.578985090426"/>
    <n v="3534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8"/>
    <x v="0"/>
    <x v="5"/>
    <x v="0"/>
    <n v="0.75805012965963403"/>
    <n v="0.153345432365221"/>
    <n v="0"/>
    <n v="37.433002951234798"/>
    <n v="3534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9"/>
    <x v="0"/>
    <x v="0"/>
    <x v="0"/>
    <n v="0"/>
    <n v="0"/>
    <n v="0"/>
    <n v="0"/>
    <n v="3529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9"/>
    <x v="0"/>
    <x v="1"/>
    <x v="0"/>
    <n v="0"/>
    <n v="0"/>
    <n v="0"/>
    <n v="0"/>
    <n v="3529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9"/>
    <x v="0"/>
    <x v="2"/>
    <x v="0"/>
    <n v="27.2829104701358"/>
    <n v="0.37741400198032998"/>
    <n v="20.145418821292001"/>
    <n v="127.320505213882"/>
    <n v="3529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9"/>
    <x v="0"/>
    <x v="3"/>
    <x v="0"/>
    <n v="1.6066903050178201"/>
    <n v="1.45315585810901E-2"/>
    <n v="1.0159317755205799"/>
    <n v="6.28992833432312"/>
    <n v="3529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9"/>
    <x v="0"/>
    <x v="4"/>
    <x v="0"/>
    <n v="24.955923528883101"/>
    <n v="0.242935089407678"/>
    <n v="18.608067101304201"/>
    <n v="98.182722336127"/>
    <n v="3529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9"/>
    <x v="0"/>
    <x v="5"/>
    <x v="0"/>
    <n v="0.72029663623489804"/>
    <n v="0.14577523914808699"/>
    <n v="0"/>
    <n v="40.320463451259897"/>
    <n v="3529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10"/>
    <x v="0"/>
    <x v="0"/>
    <x v="0"/>
    <n v="0"/>
    <n v="0"/>
    <n v="0"/>
    <n v="0"/>
    <n v="3507"/>
    <s v="Unnamed ProjectByggsatsNVA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10"/>
    <x v="0"/>
    <x v="1"/>
    <x v="0"/>
    <n v="0"/>
    <n v="0"/>
    <n v="0"/>
    <n v="0"/>
    <n v="3507"/>
    <s v="Unnamed ProjectByggsatsOther TimeEntity"/>
    <n v="10"/>
    <n v="0"/>
    <n v="0"/>
    <n v="0.95"/>
    <n v="0"/>
    <n v="0"/>
    <n v="0"/>
    <n v="0"/>
    <n v="0"/>
    <n v="3519.3"/>
    <n v="0"/>
    <n v="10"/>
    <n v="1"/>
  </r>
  <r>
    <x v="0"/>
    <s v="2026-02-22 20:33:07"/>
    <n v="10"/>
    <x v="0"/>
    <x v="2"/>
    <x v="0"/>
    <n v="27.630966546400899"/>
    <n v="0.372723761139583"/>
    <n v="19.469642542509501"/>
    <n v="137.18834789729999"/>
    <n v="3507"/>
    <s v="Unnamed ProjectByggsatsTotal TimeEntity"/>
    <n v="10"/>
    <n v="27.435787546643649"/>
    <n v="0.22077550533199378"/>
    <n v="0.95"/>
    <n v="0.15793328240840504"/>
    <n v="27.017720324189501"/>
    <n v="27.777292305482401"/>
    <n v="19.469642542509501"/>
    <n v="183.10653952551701"/>
    <n v="3519.3"/>
    <n v="0.15793328240840504"/>
    <n v="10"/>
    <n v="1"/>
  </r>
  <r>
    <x v="0"/>
    <s v="2026-02-22 20:33:07"/>
    <n v="10"/>
    <x v="0"/>
    <x v="3"/>
    <x v="0"/>
    <n v="1.61664874389762"/>
    <n v="1.5926452751900098E-2"/>
    <n v="1.0206470057164601"/>
    <n v="4.9668821442355702"/>
    <n v="3507"/>
    <s v="Unnamed ProjectByggsatsTransfer TimeEntity"/>
    <n v="10"/>
    <n v="1.6102668298703828"/>
    <n v="7.3327767313985598E-3"/>
    <n v="0.95"/>
    <n v="5.2455524747469576E-3"/>
    <n v="1.5991853308200901"/>
    <n v="1.6238880135618099"/>
    <n v="1.0045948641982201"/>
    <n v="6.28992833432312"/>
    <n v="3519.3"/>
    <n v="5.2455524747469576E-3"/>
    <n v="10"/>
    <n v="1"/>
  </r>
  <r>
    <x v="0"/>
    <s v="2026-02-22 20:33:07"/>
    <n v="10"/>
    <x v="0"/>
    <x v="4"/>
    <x v="0"/>
    <n v="25.2245217928924"/>
    <n v="0.25349772402079801"/>
    <n v="18.255569432081501"/>
    <n v="116.218693472238"/>
    <n v="3507"/>
    <s v="Unnamed ProjectByggsatsVA TimeEntity"/>
    <n v="10"/>
    <n v="25.070758465118722"/>
    <n v="0.1502479966291097"/>
    <n v="0.95"/>
    <n v="0.10748094199689077"/>
    <n v="24.804631259907101"/>
    <n v="25.303413941861201"/>
    <n v="18.255569432081501"/>
    <n v="117.578985090426"/>
    <n v="3519.3"/>
    <n v="0.10748094199689077"/>
    <n v="10"/>
    <n v="1"/>
  </r>
  <r>
    <x v="0"/>
    <s v="2026-02-22 20:33:07"/>
    <n v="10"/>
    <x v="0"/>
    <x v="5"/>
    <x v="0"/>
    <n v="0.78979600961081398"/>
    <n v="0.13622215223325301"/>
    <n v="0"/>
    <n v="39.866335832356498"/>
    <n v="3507"/>
    <s v="Unnamed ProjectByggsatsWait TimeEntity"/>
    <n v="10"/>
    <n v="0.75476225165453736"/>
    <n v="6.8699971119061898E-2"/>
    <n v="0.95"/>
    <n v="4.9144998780006138E-2"/>
    <n v="0.61390373346231197"/>
    <n v="0.84999035005939505"/>
    <n v="0"/>
    <n v="62.198407469488302"/>
    <n v="3519.3"/>
    <n v="4.9144998780006138E-2"/>
    <n v="10"/>
    <n v="1"/>
  </r>
  <r>
    <x v="0"/>
    <s v="2026-02-22 20:33:07"/>
    <n v="1"/>
    <x v="1"/>
    <x v="6"/>
    <x v="1"/>
    <n v="0.21239990864133301"/>
    <n v="8.0649579297162197E-2"/>
    <n v="0"/>
    <n v="16.8814434637716"/>
    <n v="3517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2"/>
    <x v="1"/>
    <x v="6"/>
    <x v="1"/>
    <n v="0.16037463608276101"/>
    <n v="5.8743905399568197E-2"/>
    <n v="0"/>
    <n v="10.206786887379099"/>
    <n v="3512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3"/>
    <x v="1"/>
    <x v="6"/>
    <x v="1"/>
    <n v="0.21370699971009899"/>
    <n v="0.116556513981284"/>
    <n v="0"/>
    <n v="20.849048596654001"/>
    <n v="3509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4"/>
    <x v="1"/>
    <x v="6"/>
    <x v="1"/>
    <n v="0.11511497299118501"/>
    <n v="4.9181157077615001E-2"/>
    <n v="0"/>
    <n v="15.5687547968519"/>
    <n v="3514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5"/>
    <x v="1"/>
    <x v="6"/>
    <x v="1"/>
    <n v="0.117260357686658"/>
    <n v="3E+20"/>
    <n v="0"/>
    <n v="8.5938493238700193"/>
    <n v="3543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6"/>
    <x v="1"/>
    <x v="6"/>
    <x v="1"/>
    <n v="0.181154966148805"/>
    <n v="6.17125943009963E-2"/>
    <n v="0"/>
    <n v="12.124580821193399"/>
    <n v="3531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7"/>
    <x v="1"/>
    <x v="6"/>
    <x v="1"/>
    <n v="0.21657876491922701"/>
    <n v="5.6551407823215202E-2"/>
    <n v="0"/>
    <n v="11.8774335030357"/>
    <n v="3528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8"/>
    <x v="1"/>
    <x v="6"/>
    <x v="1"/>
    <n v="0.147312090033903"/>
    <n v="5.0300365991110201E-2"/>
    <n v="0"/>
    <n v="10.6545281501076"/>
    <n v="3537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9"/>
    <x v="1"/>
    <x v="6"/>
    <x v="1"/>
    <n v="0.15177404817014201"/>
    <n v="4.8695793010167202E-2"/>
    <n v="0"/>
    <n v="8.7333066988894608"/>
    <n v="3533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10"/>
    <x v="1"/>
    <x v="6"/>
    <x v="1"/>
    <n v="0.171733218498168"/>
    <n v="5.60156648654676E-2"/>
    <n v="0"/>
    <n v="10.815266588609999"/>
    <n v="3512"/>
    <s v="Unnamed ProjectNy Montering.QueueWaiting TimeQueue"/>
    <n v="10"/>
    <n v="0.16874099628822808"/>
    <n v="3.75982152367553E-2"/>
    <n v="0.95"/>
    <n v="2.6896142921784372E-2"/>
    <n v="0.11511497299118501"/>
    <n v="0.21657876491922701"/>
    <n v="0"/>
    <n v="20.849048596654001"/>
    <n v="3523.6"/>
    <n v="2.6896142921784372E-2"/>
    <n v="10"/>
    <n v="1"/>
  </r>
  <r>
    <x v="0"/>
    <s v="2026-02-22 20:33:07"/>
    <n v="1"/>
    <x v="2"/>
    <x v="6"/>
    <x v="1"/>
    <n v="8.1881318254987505"/>
    <n v="2E+20"/>
    <n v="0"/>
    <n v="22.647653013825199"/>
    <n v="259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2"/>
    <x v="2"/>
    <x v="6"/>
    <x v="1"/>
    <n v="8.4018811298954894"/>
    <n v="2E+20"/>
    <n v="0"/>
    <n v="22.7783718656829"/>
    <n v="239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3"/>
    <x v="2"/>
    <x v="6"/>
    <x v="1"/>
    <n v="7.53418410586674"/>
    <n v="2E+20"/>
    <n v="0"/>
    <n v="21.7637893919782"/>
    <n v="260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4"/>
    <x v="2"/>
    <x v="6"/>
    <x v="1"/>
    <n v="8.1015029549650208"/>
    <n v="2E+20"/>
    <n v="0"/>
    <n v="24.571668667453199"/>
    <n v="249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5"/>
    <x v="2"/>
    <x v="6"/>
    <x v="1"/>
    <n v="7.6154481255466804"/>
    <n v="2E+20"/>
    <n v="0"/>
    <n v="21.659441446081502"/>
    <n v="231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6"/>
    <x v="2"/>
    <x v="6"/>
    <x v="1"/>
    <n v="7.8874145298317098"/>
    <n v="2E+20"/>
    <n v="0"/>
    <n v="22.367291695371001"/>
    <n v="278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7"/>
    <x v="2"/>
    <x v="6"/>
    <x v="1"/>
    <n v="7.7206785846860901"/>
    <n v="2E+20"/>
    <n v="0"/>
    <n v="23.351211034354499"/>
    <n v="289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8"/>
    <x v="2"/>
    <x v="6"/>
    <x v="1"/>
    <n v="8.3639778905706503"/>
    <n v="2E+20"/>
    <n v="0"/>
    <n v="22.579184752325101"/>
    <n v="258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9"/>
    <x v="2"/>
    <x v="6"/>
    <x v="1"/>
    <n v="8.1202798262665805"/>
    <n v="2E+20"/>
    <n v="0"/>
    <n v="22.401706903405302"/>
    <n v="247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  <r>
    <x v="0"/>
    <s v="2026-02-22 20:33:07"/>
    <n v="10"/>
    <x v="2"/>
    <x v="6"/>
    <x v="1"/>
    <n v="7.8219766871464396"/>
    <n v="2E+20"/>
    <n v="0"/>
    <n v="22.4462455128687"/>
    <n v="277"/>
    <s v="Unnamed ProjectReparation.QueueWaiting TimeQueue"/>
    <n v="10"/>
    <n v="7.9755475660274158"/>
    <n v="0.30467207048369765"/>
    <n v="0.95"/>
    <n v="0.21794926967689421"/>
    <n v="7.53418410586674"/>
    <n v="8.4018811298954894"/>
    <n v="0"/>
    <n v="24.571668667453199"/>
    <n v="258.7"/>
    <n v="0.21794926967689421"/>
    <n v="1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2026-02-22 20:33:07"/>
    <n v="1"/>
    <x v="0"/>
    <x v="0"/>
    <x v="0"/>
    <n v="3517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1"/>
    <x v="1"/>
    <x v="1"/>
    <x v="0"/>
    <n v="3513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1"/>
    <x v="2"/>
    <x v="2"/>
    <x v="1"/>
    <n v="1325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1"/>
    <x v="3"/>
    <x v="3"/>
    <x v="1"/>
    <n v="0.59620888008069395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1"/>
    <x v="4"/>
    <x v="2"/>
    <x v="1"/>
    <n v="824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1"/>
    <x v="5"/>
    <x v="3"/>
    <x v="1"/>
    <n v="0.799831472781113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1"/>
    <x v="6"/>
    <x v="2"/>
    <x v="1"/>
    <n v="812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1"/>
    <x v="7"/>
    <x v="3"/>
    <x v="1"/>
    <n v="0.83110931714036895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1"/>
    <x v="8"/>
    <x v="2"/>
    <x v="1"/>
    <n v="815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1"/>
    <x v="9"/>
    <x v="3"/>
    <x v="1"/>
    <n v="0.83225506041071495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1"/>
    <x v="10"/>
    <x v="1"/>
    <x v="2"/>
    <n v="3513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1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2"/>
    <x v="0"/>
    <x v="0"/>
    <x v="0"/>
    <n v="3512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2"/>
    <x v="1"/>
    <x v="1"/>
    <x v="0"/>
    <n v="3507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2"/>
    <x v="2"/>
    <x v="2"/>
    <x v="1"/>
    <n v="1291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2"/>
    <x v="3"/>
    <x v="3"/>
    <x v="1"/>
    <n v="0.58095472748131705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2"/>
    <x v="4"/>
    <x v="2"/>
    <x v="1"/>
    <n v="833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2"/>
    <x v="5"/>
    <x v="3"/>
    <x v="1"/>
    <n v="0.806115411518457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2"/>
    <x v="6"/>
    <x v="2"/>
    <x v="1"/>
    <n v="816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2"/>
    <x v="7"/>
    <x v="3"/>
    <x v="1"/>
    <n v="0.82977880197910603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2"/>
    <x v="8"/>
    <x v="2"/>
    <x v="1"/>
    <n v="811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2"/>
    <x v="9"/>
    <x v="3"/>
    <x v="1"/>
    <n v="0.830596563080927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2"/>
    <x v="10"/>
    <x v="1"/>
    <x v="2"/>
    <n v="3507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2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3"/>
    <x v="0"/>
    <x v="0"/>
    <x v="0"/>
    <n v="3509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3"/>
    <x v="1"/>
    <x v="1"/>
    <x v="0"/>
    <n v="3504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3"/>
    <x v="2"/>
    <x v="2"/>
    <x v="1"/>
    <n v="1315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3"/>
    <x v="3"/>
    <x v="3"/>
    <x v="1"/>
    <n v="0.59213389015754403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3"/>
    <x v="4"/>
    <x v="2"/>
    <x v="1"/>
    <n v="826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3"/>
    <x v="5"/>
    <x v="3"/>
    <x v="1"/>
    <n v="0.802957038593899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3"/>
    <x v="6"/>
    <x v="2"/>
    <x v="1"/>
    <n v="813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3"/>
    <x v="7"/>
    <x v="3"/>
    <x v="1"/>
    <n v="0.82935623531965497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3"/>
    <x v="8"/>
    <x v="2"/>
    <x v="1"/>
    <n v="815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3"/>
    <x v="9"/>
    <x v="3"/>
    <x v="1"/>
    <n v="0.83152303682254802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3"/>
    <x v="10"/>
    <x v="1"/>
    <x v="2"/>
    <n v="3504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3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4"/>
    <x v="0"/>
    <x v="0"/>
    <x v="0"/>
    <n v="3514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4"/>
    <x v="1"/>
    <x v="1"/>
    <x v="0"/>
    <n v="3510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4"/>
    <x v="2"/>
    <x v="2"/>
    <x v="1"/>
    <n v="1302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4"/>
    <x v="3"/>
    <x v="3"/>
    <x v="1"/>
    <n v="0.58692356837193405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4"/>
    <x v="4"/>
    <x v="2"/>
    <x v="1"/>
    <n v="831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4"/>
    <x v="5"/>
    <x v="3"/>
    <x v="1"/>
    <n v="0.80401750740523303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4"/>
    <x v="6"/>
    <x v="2"/>
    <x v="1"/>
    <n v="817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4"/>
    <x v="7"/>
    <x v="3"/>
    <x v="1"/>
    <n v="0.83250004294119695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4"/>
    <x v="8"/>
    <x v="2"/>
    <x v="1"/>
    <n v="813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4"/>
    <x v="9"/>
    <x v="3"/>
    <x v="1"/>
    <n v="0.82907913713772696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4"/>
    <x v="10"/>
    <x v="1"/>
    <x v="2"/>
    <n v="3510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4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5"/>
    <x v="0"/>
    <x v="0"/>
    <x v="0"/>
    <n v="3543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5"/>
    <x v="1"/>
    <x v="1"/>
    <x v="0"/>
    <n v="3539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5"/>
    <x v="2"/>
    <x v="2"/>
    <x v="1"/>
    <n v="1324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5"/>
    <x v="3"/>
    <x v="3"/>
    <x v="1"/>
    <n v="0.59529994453747503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5"/>
    <x v="4"/>
    <x v="2"/>
    <x v="1"/>
    <n v="824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5"/>
    <x v="5"/>
    <x v="3"/>
    <x v="1"/>
    <n v="0.79210128641287902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5"/>
    <x v="6"/>
    <x v="2"/>
    <x v="1"/>
    <n v="812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5"/>
    <x v="7"/>
    <x v="3"/>
    <x v="1"/>
    <n v="0.82778443412963498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5"/>
    <x v="8"/>
    <x v="2"/>
    <x v="1"/>
    <n v="814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5"/>
    <x v="9"/>
    <x v="3"/>
    <x v="1"/>
    <n v="0.82868351310514399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5"/>
    <x v="10"/>
    <x v="1"/>
    <x v="2"/>
    <n v="3539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5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6"/>
    <x v="0"/>
    <x v="0"/>
    <x v="0"/>
    <n v="3531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6"/>
    <x v="1"/>
    <x v="1"/>
    <x v="0"/>
    <n v="3526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6"/>
    <x v="2"/>
    <x v="2"/>
    <x v="1"/>
    <n v="1343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6"/>
    <x v="3"/>
    <x v="3"/>
    <x v="1"/>
    <n v="0.60760355435819602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6"/>
    <x v="4"/>
    <x v="2"/>
    <x v="1"/>
    <n v="831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6"/>
    <x v="5"/>
    <x v="3"/>
    <x v="1"/>
    <n v="0.80413625976071701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6"/>
    <x v="6"/>
    <x v="2"/>
    <x v="1"/>
    <n v="820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6"/>
    <x v="7"/>
    <x v="3"/>
    <x v="1"/>
    <n v="0.83556962527759304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6"/>
    <x v="8"/>
    <x v="2"/>
    <x v="1"/>
    <n v="815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6"/>
    <x v="9"/>
    <x v="3"/>
    <x v="1"/>
    <n v="0.83348302779352801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6"/>
    <x v="10"/>
    <x v="1"/>
    <x v="2"/>
    <n v="3526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6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7"/>
    <x v="0"/>
    <x v="0"/>
    <x v="0"/>
    <n v="3529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7"/>
    <x v="1"/>
    <x v="1"/>
    <x v="0"/>
    <n v="3524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7"/>
    <x v="2"/>
    <x v="2"/>
    <x v="1"/>
    <n v="1345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7"/>
    <x v="3"/>
    <x v="3"/>
    <x v="1"/>
    <n v="0.60761888382065699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7"/>
    <x v="4"/>
    <x v="2"/>
    <x v="1"/>
    <n v="836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7"/>
    <x v="5"/>
    <x v="3"/>
    <x v="1"/>
    <n v="0.80913537591663398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7"/>
    <x v="6"/>
    <x v="2"/>
    <x v="1"/>
    <n v="814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7"/>
    <x v="7"/>
    <x v="3"/>
    <x v="1"/>
    <n v="0.83288388141004499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7"/>
    <x v="8"/>
    <x v="2"/>
    <x v="1"/>
    <n v="822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7"/>
    <x v="9"/>
    <x v="3"/>
    <x v="1"/>
    <n v="0.83908808891262199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7"/>
    <x v="10"/>
    <x v="1"/>
    <x v="2"/>
    <n v="3524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7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8"/>
    <x v="0"/>
    <x v="0"/>
    <x v="0"/>
    <n v="3538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8"/>
    <x v="1"/>
    <x v="1"/>
    <x v="0"/>
    <n v="3534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8"/>
    <x v="2"/>
    <x v="2"/>
    <x v="1"/>
    <n v="1324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8"/>
    <x v="3"/>
    <x v="3"/>
    <x v="1"/>
    <n v="0.59528944895696501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8"/>
    <x v="4"/>
    <x v="2"/>
    <x v="1"/>
    <n v="832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8"/>
    <x v="5"/>
    <x v="3"/>
    <x v="1"/>
    <n v="0.80586278928597399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8"/>
    <x v="6"/>
    <x v="2"/>
    <x v="1"/>
    <n v="817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8"/>
    <x v="7"/>
    <x v="3"/>
    <x v="1"/>
    <n v="0.83459722885795196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8"/>
    <x v="8"/>
    <x v="2"/>
    <x v="1"/>
    <n v="822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8"/>
    <x v="9"/>
    <x v="3"/>
    <x v="1"/>
    <n v="0.83882879042182301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8"/>
    <x v="10"/>
    <x v="1"/>
    <x v="2"/>
    <n v="3534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8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9"/>
    <x v="0"/>
    <x v="0"/>
    <x v="0"/>
    <n v="3533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9"/>
    <x v="1"/>
    <x v="1"/>
    <x v="0"/>
    <n v="3529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9"/>
    <x v="2"/>
    <x v="2"/>
    <x v="1"/>
    <n v="1327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9"/>
    <x v="3"/>
    <x v="3"/>
    <x v="1"/>
    <n v="0.59666349377163097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9"/>
    <x v="4"/>
    <x v="2"/>
    <x v="1"/>
    <n v="825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9"/>
    <x v="5"/>
    <x v="3"/>
    <x v="1"/>
    <n v="0.79679566284641001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9"/>
    <x v="6"/>
    <x v="2"/>
    <x v="1"/>
    <n v="815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9"/>
    <x v="7"/>
    <x v="3"/>
    <x v="1"/>
    <n v="0.83424289436680299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9"/>
    <x v="8"/>
    <x v="2"/>
    <x v="1"/>
    <n v="813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9"/>
    <x v="9"/>
    <x v="3"/>
    <x v="1"/>
    <n v="0.82692860079846797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9"/>
    <x v="10"/>
    <x v="1"/>
    <x v="2"/>
    <n v="3529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9"/>
    <x v="11"/>
    <x v="4"/>
    <x v="3"/>
    <n v="6"/>
    <n v="0"/>
    <s v="Unnamed ProjecttidiSystemetOutputUser Specified"/>
    <n v="10"/>
    <n v="6"/>
    <n v="0"/>
    <n v="0.95"/>
    <n v="0"/>
    <n v="6"/>
    <n v="6"/>
  </r>
  <r>
    <x v="0"/>
    <s v="2026-02-22 20:33:07"/>
    <n v="10"/>
    <x v="0"/>
    <x v="0"/>
    <x v="0"/>
    <n v="3512"/>
    <n v="0"/>
    <s v="Unnamed ProjectByggsats.NumberInNumber InEntity"/>
    <n v="10"/>
    <n v="3523.8"/>
    <n v="12.35403667722507"/>
    <n v="0.95"/>
    <n v="8.8375454536678362"/>
    <n v="3509"/>
    <n v="3543"/>
  </r>
  <r>
    <x v="0"/>
    <s v="2026-02-22 20:33:07"/>
    <n v="10"/>
    <x v="1"/>
    <x v="1"/>
    <x v="0"/>
    <n v="3507"/>
    <n v="0"/>
    <s v="Unnamed ProjectByggsats.NumberOutNumber OutEntity"/>
    <n v="10"/>
    <n v="3519.3"/>
    <n v="12.596736790843009"/>
    <n v="0.95"/>
    <n v="9.011162656024295"/>
    <n v="3504"/>
    <n v="3539"/>
  </r>
  <r>
    <x v="0"/>
    <s v="2026-02-22 20:33:07"/>
    <n v="10"/>
    <x v="2"/>
    <x v="2"/>
    <x v="1"/>
    <n v="1325"/>
    <n v="0"/>
    <s v="Unnamed ProjectOp1.NumberSeizedTotal Number SeizedResource"/>
    <n v="10"/>
    <n v="1322.1"/>
    <n v="16.434719346554107"/>
    <n v="0.95"/>
    <n v="11.75668998224717"/>
    <n v="1291"/>
    <n v="1345"/>
  </r>
  <r>
    <x v="0"/>
    <s v="2026-02-22 20:33:07"/>
    <n v="10"/>
    <x v="3"/>
    <x v="3"/>
    <x v="1"/>
    <n v="0.59746940997571296"/>
    <n v="0"/>
    <s v="Unnamed ProjectOp1.ScheduledUtilizationScheduled UtilizationResource"/>
    <n v="10"/>
    <n v="0.59561658015121266"/>
    <n v="8.1342721434722529E-3"/>
    <n v="0.95"/>
    <n v="5.8189077528776768E-3"/>
    <n v="0.58095472748131705"/>
    <n v="0.60761888382065699"/>
  </r>
  <r>
    <x v="0"/>
    <s v="2026-02-22 20:33:07"/>
    <n v="10"/>
    <x v="4"/>
    <x v="2"/>
    <x v="1"/>
    <n v="832"/>
    <n v="0"/>
    <s v="Unnamed ProjectOp2.NumberSeizedTotal Number SeizedResource"/>
    <n v="10"/>
    <n v="829.4"/>
    <n v="4.2739521132865619"/>
    <n v="0.95"/>
    <n v="3.0574011600274589"/>
    <n v="824"/>
    <n v="836"/>
  </r>
  <r>
    <x v="0"/>
    <s v="2026-02-22 20:33:07"/>
    <n v="10"/>
    <x v="5"/>
    <x v="3"/>
    <x v="1"/>
    <n v="0.80509912008322904"/>
    <n v="0"/>
    <s v="Unnamed ProjectOp2.ScheduledUtilizationScheduled UtilizationResource"/>
    <n v="10"/>
    <n v="0.80260519246045448"/>
    <n v="5.033613012173632E-3"/>
    <n v="0.95"/>
    <n v="3.6008298302422069E-3"/>
    <n v="0.79210128641287902"/>
    <n v="0.80913537591663398"/>
  </r>
  <r>
    <x v="0"/>
    <s v="2026-02-22 20:33:07"/>
    <n v="10"/>
    <x v="6"/>
    <x v="2"/>
    <x v="1"/>
    <n v="817"/>
    <n v="0"/>
    <s v="Unnamed ProjectOp3.NumberSeizedTotal Number SeizedResource"/>
    <n v="10"/>
    <n v="815.3"/>
    <n v="2.5841396591085743"/>
    <n v="0.95"/>
    <n v="1.8485821511359977"/>
    <n v="812"/>
    <n v="820"/>
  </r>
  <r>
    <x v="0"/>
    <s v="2026-02-22 20:33:07"/>
    <n v="10"/>
    <x v="7"/>
    <x v="3"/>
    <x v="1"/>
    <n v="0.835591266164598"/>
    <n v="0"/>
    <s v="Unnamed ProjectOp3.ScheduledUtilizationScheduled UtilizationResource"/>
    <n v="10"/>
    <n v="0.83234137275869524"/>
    <n v="2.7440653084185238E-3"/>
    <n v="0.95"/>
    <n v="1.9629860688117127E-3"/>
    <n v="0.82778443412963498"/>
    <n v="0.835591266164598"/>
  </r>
  <r>
    <x v="0"/>
    <s v="2026-02-22 20:33:07"/>
    <n v="10"/>
    <x v="8"/>
    <x v="2"/>
    <x v="1"/>
    <n v="815"/>
    <n v="0"/>
    <s v="Unnamed ProjectOp4.NumberSeizedTotal Number SeizedResource"/>
    <n v="10"/>
    <n v="815.5"/>
    <n v="3.6590830666833583"/>
    <n v="0.95"/>
    <n v="2.6175503412722585"/>
    <n v="811"/>
    <n v="822"/>
  </r>
  <r>
    <x v="0"/>
    <s v="2026-02-22 20:33:07"/>
    <n v="10"/>
    <x v="9"/>
    <x v="3"/>
    <x v="1"/>
    <n v="0.83494662299400701"/>
    <n v="0"/>
    <s v="Unnamed ProjectOp4.ScheduledUtilizationScheduled UtilizationResource"/>
    <n v="10"/>
    <n v="0.83254124414775088"/>
    <n v="4.1141718378968446E-3"/>
    <n v="0.95"/>
    <n v="2.9431012365895297E-3"/>
    <n v="0.82692860079846797"/>
    <n v="0.83908808891262199"/>
  </r>
  <r>
    <x v="0"/>
    <s v="2026-02-22 20:33:07"/>
    <n v="10"/>
    <x v="10"/>
    <x v="1"/>
    <x v="2"/>
    <n v="3507"/>
    <n v="0"/>
    <s v="Unnamed ProjectSystem.NumberOutNumber OutSystem"/>
    <n v="10"/>
    <n v="3519.3"/>
    <n v="12.596736790843009"/>
    <n v="0.95"/>
    <n v="9.011162656024295"/>
    <n v="3504"/>
    <n v="3539"/>
  </r>
  <r>
    <x v="0"/>
    <s v="2026-02-22 20:33:07"/>
    <n v="10"/>
    <x v="11"/>
    <x v="4"/>
    <x v="3"/>
    <n v="6"/>
    <n v="0"/>
    <s v="Unnamed ProjecttidiSystemetOutputUser Specified"/>
    <n v="10"/>
    <n v="6"/>
    <n v="0"/>
    <n v="0.95"/>
    <n v="0"/>
    <n v="6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1">
        <item m="1" x="22"/>
        <item m="1" x="13"/>
        <item m="1" x="29"/>
        <item m="1" x="38"/>
        <item m="1" x="51"/>
        <item m="1" x="50"/>
        <item m="1" x="14"/>
        <item m="1" x="115"/>
        <item m="1" x="93"/>
        <item m="1" x="56"/>
        <item m="1" x="43"/>
        <item m="1" x="47"/>
        <item m="1" x="129"/>
        <item m="1" x="32"/>
        <item m="1" x="114"/>
        <item m="1" x="36"/>
        <item m="1" x="87"/>
        <item m="1" x="101"/>
        <item m="1" x="11"/>
        <item m="1" x="37"/>
        <item m="1" x="124"/>
        <item m="1" x="26"/>
        <item m="1" x="116"/>
        <item m="1" x="15"/>
        <item m="1" x="42"/>
        <item m="1" x="68"/>
        <item m="1" x="12"/>
        <item m="1" x="18"/>
        <item m="1" x="88"/>
        <item m="1" x="69"/>
        <item m="1" x="103"/>
        <item m="1" x="59"/>
        <item m="1" x="23"/>
        <item m="1" x="53"/>
        <item m="1" x="89"/>
        <item m="1" x="74"/>
        <item m="1" x="24"/>
        <item m="1" x="34"/>
        <item m="1" x="96"/>
        <item m="1" x="10"/>
        <item m="1" x="123"/>
        <item m="1" x="81"/>
        <item m="1" x="21"/>
        <item m="1" x="106"/>
        <item m="1" x="52"/>
        <item m="1" x="125"/>
        <item m="1" x="86"/>
        <item m="1" x="28"/>
        <item m="1" x="73"/>
        <item m="1" x="92"/>
        <item m="1" x="105"/>
        <item m="1" x="113"/>
        <item m="1" x="122"/>
        <item m="1" x="9"/>
        <item m="1" x="27"/>
        <item m="1" x="41"/>
        <item m="1" x="30"/>
        <item m="1" x="8"/>
        <item m="1" x="102"/>
        <item m="1" x="119"/>
        <item m="1" x="45"/>
        <item m="1" x="80"/>
        <item m="1" x="33"/>
        <item m="1" x="54"/>
        <item m="1" x="39"/>
        <item m="1" x="63"/>
        <item m="1" x="48"/>
        <item m="1" x="70"/>
        <item m="1" x="55"/>
        <item m="1" x="82"/>
        <item m="1" x="64"/>
        <item m="1" x="90"/>
        <item m="1" x="71"/>
        <item m="1" x="99"/>
        <item m="1" x="83"/>
        <item m="1" x="104"/>
        <item m="1" x="91"/>
        <item m="1" x="108"/>
        <item m="1" x="120"/>
        <item m="1" x="110"/>
        <item m="1" x="94"/>
        <item m="1" x="67"/>
        <item m="1" x="46"/>
        <item m="1" x="61"/>
        <item m="1" x="25"/>
        <item m="1" x="31"/>
        <item m="1" x="40"/>
        <item m="1" x="44"/>
        <item m="1" x="76"/>
        <item m="1" x="121"/>
        <item m="1" x="111"/>
        <item m="1" x="95"/>
        <item m="1" x="62"/>
        <item m="1" x="130"/>
        <item m="1" x="78"/>
        <item m="1" x="66"/>
        <item m="1" x="98"/>
        <item m="1" x="79"/>
        <item m="1" x="58"/>
        <item m="1" x="65"/>
        <item m="1" x="19"/>
        <item m="1" x="84"/>
        <item m="1" x="100"/>
        <item m="1" x="109"/>
        <item m="1" x="117"/>
        <item m="1" x="128"/>
        <item m="1" x="16"/>
        <item m="1" x="35"/>
        <item m="1" x="127"/>
        <item m="1" x="17"/>
        <item m="1" x="85"/>
        <item m="1" x="60"/>
        <item m="1" x="75"/>
        <item m="1" x="20"/>
        <item m="1" x="126"/>
        <item m="1" x="107"/>
        <item m="1" x="57"/>
        <item m="1" x="118"/>
        <item m="1" x="77"/>
        <item m="1" x="97"/>
        <item m="1" x="112"/>
        <item m="1" x="49"/>
        <item m="1" x="72"/>
        <item m="1" x="7"/>
        <item x="0"/>
        <item x="1"/>
        <item x="2"/>
        <item x="3"/>
        <item x="4"/>
        <item x="5"/>
        <item x="6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5">
    <i>
      <x v="3"/>
      <x v="124"/>
      <x v="4"/>
      <x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/>
      <x v="2"/>
    </i>
    <i r="2">
      <x v="1"/>
      <x v="2"/>
    </i>
    <i r="2">
      <x v="2"/>
      <x v="2"/>
    </i>
    <i r="1">
      <x v="128"/>
      <x/>
      <x v="2"/>
    </i>
    <i r="2">
      <x v="1"/>
      <x v="2"/>
    </i>
    <i r="2">
      <x v="2"/>
      <x v="2"/>
    </i>
    <i r="1">
      <x v="129"/>
      <x/>
      <x v="2"/>
    </i>
    <i r="2">
      <x v="1"/>
      <x v="2"/>
    </i>
    <i r="2">
      <x v="2"/>
      <x v="2"/>
    </i>
    <i r="1">
      <x v="130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  <i r="1">
      <x v="101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4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90">
        <item m="1" x="37"/>
        <item m="1" x="13"/>
        <item m="1" x="38"/>
        <item m="1" x="14"/>
        <item m="1" x="39"/>
        <item m="1" x="15"/>
        <item m="1" x="40"/>
        <item m="1" x="16"/>
        <item m="1" x="72"/>
        <item m="1" x="27"/>
        <item x="10"/>
        <item m="1" x="71"/>
        <item m="1" x="58"/>
        <item m="1" x="75"/>
        <item m="1" x="60"/>
        <item m="1" x="76"/>
        <item m="1" x="83"/>
        <item m="1" x="52"/>
        <item m="1" x="20"/>
        <item m="1" x="69"/>
        <item m="1" x="59"/>
        <item m="1" x="57"/>
        <item m="1" x="23"/>
        <item m="1" x="67"/>
        <item m="1" x="32"/>
        <item m="1" x="68"/>
        <item m="1" x="33"/>
        <item m="1" x="66"/>
        <item m="1" x="86"/>
        <item m="1" x="26"/>
        <item m="1" x="89"/>
        <item m="1" x="54"/>
        <item m="1" x="21"/>
        <item m="1" x="84"/>
        <item m="1" x="79"/>
        <item m="1" x="55"/>
        <item m="1" x="22"/>
        <item m="1" x="85"/>
        <item m="1" x="80"/>
        <item m="1" x="17"/>
        <item m="1" x="51"/>
        <item m="1" x="35"/>
        <item m="1" x="25"/>
        <item m="1" x="77"/>
        <item m="1" x="47"/>
        <item m="1" x="78"/>
        <item m="1" x="48"/>
        <item m="1" x="34"/>
        <item m="1" x="29"/>
        <item m="1" x="56"/>
        <item m="1" x="31"/>
        <item m="1" x="88"/>
        <item m="1" x="81"/>
        <item m="1" x="30"/>
        <item m="1" x="28"/>
        <item m="1" x="73"/>
        <item m="1" x="82"/>
        <item m="1" x="18"/>
        <item m="1" x="36"/>
        <item m="1" x="49"/>
        <item m="1" x="70"/>
        <item m="1" x="87"/>
        <item m="1" x="19"/>
        <item m="1" x="46"/>
        <item m="1" x="50"/>
        <item m="1" x="74"/>
        <item m="1" x="53"/>
        <item m="1" x="24"/>
        <item m="1" x="41"/>
        <item m="1" x="61"/>
        <item m="1" x="42"/>
        <item m="1" x="62"/>
        <item m="1" x="43"/>
        <item m="1" x="63"/>
        <item m="1" x="44"/>
        <item m="1" x="64"/>
        <item m="1" x="45"/>
        <item m="1" x="65"/>
        <item m="1" x="12"/>
        <item x="0"/>
        <item x="1"/>
        <item x="2"/>
        <item x="3"/>
        <item x="4"/>
        <item x="5"/>
        <item x="6"/>
        <item x="7"/>
        <item x="8"/>
        <item x="9"/>
        <item x="11"/>
      </items>
    </pivotField>
    <pivotField axis="axisRow" compact="0" outline="0" showAll="0" defaultSubtotal="0">
      <items count="8">
        <item x="0"/>
        <item x="1"/>
        <item x="3"/>
        <item x="2"/>
        <item m="1" x="6"/>
        <item m="1" x="7"/>
        <item m="1" x="5"/>
        <item x="4"/>
      </items>
    </pivotField>
    <pivotField axis="axisRow" compact="0" outline="0" showAll="0" defaultSubtotal="0">
      <items count="6">
        <item x="0"/>
        <item x="1"/>
        <item x="2"/>
        <item m="1" x="5"/>
        <item m="1" x="4"/>
        <item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2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  <i r="1">
      <x v="89"/>
      <x v="7"/>
      <x v="5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81" tableType="queryTable" totalsRowShown="0">
  <autoFilter ref="A1:Y81" xr:uid="{C3D003CA-1AFF-426C-A03D-D3AF5760DF1A}"/>
  <sortState xmlns:xlrd2="http://schemas.microsoft.com/office/spreadsheetml/2017/richdata2" ref="A2:Y81">
    <sortCondition ref="D1:D8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1" tableType="queryTable" totalsRowShown="0">
  <autoFilter ref="A1:P12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76.5429687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10</v>
      </c>
      <c r="F2">
        <v>20000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7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12.5429687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3519.3</v>
      </c>
      <c r="O3" t="s">
        <v>66</v>
      </c>
      <c r="P3" t="s">
        <v>70</v>
      </c>
      <c r="Q3" t="s">
        <v>82</v>
      </c>
      <c r="R3" t="s">
        <v>72</v>
      </c>
      <c r="S3" s="5">
        <v>4.831036287680659</v>
      </c>
      <c r="T3" s="5">
        <v>2.7014915395151946E-2</v>
      </c>
      <c r="U3" s="5">
        <v>3.7764247705829479E-2</v>
      </c>
      <c r="V3" s="5">
        <v>4.7851917460602902</v>
      </c>
      <c r="W3" s="5">
        <v>4.8974164543117702</v>
      </c>
      <c r="X3" s="5">
        <v>0</v>
      </c>
      <c r="Y3" s="5">
        <v>11</v>
      </c>
      <c r="AA3" t="s">
        <v>111</v>
      </c>
      <c r="AB3" t="s">
        <v>111</v>
      </c>
      <c r="AC3" t="s">
        <v>111</v>
      </c>
      <c r="AD3" t="s">
        <v>111</v>
      </c>
      <c r="AE3" s="5"/>
      <c r="AF3" s="5"/>
      <c r="AG3" s="5"/>
      <c r="AH3" s="5"/>
      <c r="AI3" s="5"/>
      <c r="AK3" t="s">
        <v>66</v>
      </c>
      <c r="AL3" t="s">
        <v>106</v>
      </c>
      <c r="AM3" t="s">
        <v>95</v>
      </c>
      <c r="AN3" t="s">
        <v>107</v>
      </c>
      <c r="AO3" s="5">
        <v>3519.3</v>
      </c>
      <c r="AP3" s="5">
        <v>9.011162656024295</v>
      </c>
      <c r="AQ3" s="5">
        <v>12.596736790843009</v>
      </c>
      <c r="AR3" s="5">
        <v>3504</v>
      </c>
      <c r="AS3" s="5">
        <v>3539</v>
      </c>
      <c r="AU3" t="s">
        <v>111</v>
      </c>
      <c r="AV3" t="s">
        <v>111</v>
      </c>
      <c r="AW3" t="s">
        <v>111</v>
      </c>
      <c r="AX3" t="s">
        <v>111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3519.3</v>
      </c>
      <c r="P4" t="s">
        <v>78</v>
      </c>
      <c r="Q4" t="s">
        <v>83</v>
      </c>
      <c r="R4" t="s">
        <v>80</v>
      </c>
      <c r="S4" s="5">
        <v>2.9721236155394359E-2</v>
      </c>
      <c r="T4" s="5">
        <v>4.7121468395371572E-3</v>
      </c>
      <c r="U4" s="5">
        <v>6.5871270693099206E-3</v>
      </c>
      <c r="V4" s="5">
        <v>2.0225700754551199E-2</v>
      </c>
      <c r="W4" s="5">
        <v>3.8204494131751601E-2</v>
      </c>
      <c r="X4" s="5">
        <v>0</v>
      </c>
      <c r="Y4" s="5">
        <v>5</v>
      </c>
      <c r="AL4" t="s">
        <v>92</v>
      </c>
      <c r="AM4" t="s">
        <v>93</v>
      </c>
      <c r="AN4" t="s">
        <v>72</v>
      </c>
      <c r="AO4" s="5">
        <v>3523.8</v>
      </c>
      <c r="AP4" s="5">
        <v>8.8375454536678362</v>
      </c>
      <c r="AQ4" s="5">
        <v>12.35403667722507</v>
      </c>
      <c r="AR4" s="5">
        <v>3509</v>
      </c>
      <c r="AS4" s="5">
        <v>3543</v>
      </c>
    </row>
    <row r="5" spans="1:52" x14ac:dyDescent="0.35">
      <c r="C5" t="s">
        <v>74</v>
      </c>
      <c r="D5" t="s">
        <v>72</v>
      </c>
      <c r="E5" s="5">
        <v>27.435787546643649</v>
      </c>
      <c r="F5" s="5">
        <v>1</v>
      </c>
      <c r="G5" s="5">
        <v>0.15793328240840504</v>
      </c>
      <c r="H5" s="5">
        <v>0.22077550533199378</v>
      </c>
      <c r="I5" s="5">
        <v>27.017720324189501</v>
      </c>
      <c r="J5" s="5">
        <v>27.777292305482401</v>
      </c>
      <c r="K5" s="5">
        <v>19.469642542509501</v>
      </c>
      <c r="L5" s="5">
        <v>183.10653952551701</v>
      </c>
      <c r="M5" s="5">
        <v>3519.3</v>
      </c>
      <c r="P5" t="s">
        <v>84</v>
      </c>
      <c r="Q5" t="s">
        <v>85</v>
      </c>
      <c r="R5" t="s">
        <v>86</v>
      </c>
      <c r="S5" s="5">
        <v>0.59561658015121266</v>
      </c>
      <c r="T5" s="5">
        <v>5.8189077528776768E-3</v>
      </c>
      <c r="U5" s="5">
        <v>8.1342721434722529E-3</v>
      </c>
      <c r="V5" s="5">
        <v>0.58095472748131705</v>
      </c>
      <c r="W5" s="5">
        <v>0.60761888382065699</v>
      </c>
      <c r="X5" s="5">
        <v>0</v>
      </c>
      <c r="Y5" s="5">
        <v>1</v>
      </c>
      <c r="AL5" t="s">
        <v>94</v>
      </c>
      <c r="AM5" t="s">
        <v>95</v>
      </c>
      <c r="AN5" t="s">
        <v>72</v>
      </c>
      <c r="AO5" s="5">
        <v>3519.3</v>
      </c>
      <c r="AP5" s="5">
        <v>9.011162656024295</v>
      </c>
      <c r="AQ5" s="5">
        <v>12.596736790843009</v>
      </c>
      <c r="AR5" s="5">
        <v>3504</v>
      </c>
      <c r="AS5" s="5">
        <v>3539</v>
      </c>
    </row>
    <row r="6" spans="1:52" x14ac:dyDescent="0.35">
      <c r="C6" t="s">
        <v>75</v>
      </c>
      <c r="D6" t="s">
        <v>72</v>
      </c>
      <c r="E6" s="5">
        <v>1.6102668298703828</v>
      </c>
      <c r="F6" s="5">
        <v>1</v>
      </c>
      <c r="G6" s="5">
        <v>5.2455524747469576E-3</v>
      </c>
      <c r="H6" s="5">
        <v>7.3327767313985598E-3</v>
      </c>
      <c r="I6" s="5">
        <v>1.5991853308200901</v>
      </c>
      <c r="J6" s="5">
        <v>1.6238880135618099</v>
      </c>
      <c r="K6" s="5">
        <v>1.0045948641982201</v>
      </c>
      <c r="L6" s="5">
        <v>6.28992833432312</v>
      </c>
      <c r="M6" s="5">
        <v>3519.3</v>
      </c>
      <c r="Q6" t="s">
        <v>87</v>
      </c>
      <c r="R6" t="s">
        <v>86</v>
      </c>
      <c r="S6" s="5">
        <v>1.1912331603024251</v>
      </c>
      <c r="T6" s="5">
        <v>1.1637815505755052E-2</v>
      </c>
      <c r="U6" s="5">
        <v>1.6268544286944082E-2</v>
      </c>
      <c r="V6" s="5">
        <v>1.1619094549626301</v>
      </c>
      <c r="W6" s="5">
        <v>1.21523776764131</v>
      </c>
      <c r="X6" s="5">
        <v>0</v>
      </c>
      <c r="Y6" s="5">
        <v>2</v>
      </c>
      <c r="AL6" t="s">
        <v>96</v>
      </c>
      <c r="AM6" t="s">
        <v>97</v>
      </c>
      <c r="AN6" t="s">
        <v>86</v>
      </c>
      <c r="AO6" s="5">
        <v>1322.1</v>
      </c>
      <c r="AP6" s="5">
        <v>11.75668998224717</v>
      </c>
      <c r="AQ6" s="5">
        <v>16.434719346554107</v>
      </c>
      <c r="AR6" s="5">
        <v>1291</v>
      </c>
      <c r="AS6" s="5">
        <v>1345</v>
      </c>
    </row>
    <row r="7" spans="1:52" x14ac:dyDescent="0.35">
      <c r="C7" t="s">
        <v>76</v>
      </c>
      <c r="D7" t="s">
        <v>72</v>
      </c>
      <c r="E7" s="5">
        <v>25.070758465118722</v>
      </c>
      <c r="F7" s="5">
        <v>1</v>
      </c>
      <c r="G7" s="5">
        <v>0.10748094199689077</v>
      </c>
      <c r="H7" s="5">
        <v>0.1502479966291097</v>
      </c>
      <c r="I7" s="5">
        <v>24.804631259907101</v>
      </c>
      <c r="J7" s="5">
        <v>25.303413941861201</v>
      </c>
      <c r="K7" s="5">
        <v>18.255569432081501</v>
      </c>
      <c r="L7" s="5">
        <v>117.578985090426</v>
      </c>
      <c r="M7" s="5">
        <v>3519.3</v>
      </c>
      <c r="Q7" t="s">
        <v>88</v>
      </c>
      <c r="R7" t="s">
        <v>86</v>
      </c>
      <c r="S7" s="5">
        <v>2</v>
      </c>
      <c r="T7" s="5">
        <v>0</v>
      </c>
      <c r="U7" s="5">
        <v>0</v>
      </c>
      <c r="V7" s="5">
        <v>2</v>
      </c>
      <c r="W7" s="5">
        <v>2</v>
      </c>
      <c r="X7" s="5">
        <v>2</v>
      </c>
      <c r="Y7" s="5">
        <v>2</v>
      </c>
      <c r="AL7" t="s">
        <v>98</v>
      </c>
      <c r="AM7" t="s">
        <v>99</v>
      </c>
      <c r="AN7" t="s">
        <v>86</v>
      </c>
      <c r="AO7" s="5">
        <v>0.59561658015121266</v>
      </c>
      <c r="AP7" s="5">
        <v>5.8189077528776768E-3</v>
      </c>
      <c r="AQ7" s="5">
        <v>8.1342721434722529E-3</v>
      </c>
      <c r="AR7" s="5">
        <v>0.58095472748131705</v>
      </c>
      <c r="AS7" s="5">
        <v>0.60761888382065699</v>
      </c>
    </row>
    <row r="8" spans="1:52" x14ac:dyDescent="0.35">
      <c r="C8" t="s">
        <v>77</v>
      </c>
      <c r="D8" t="s">
        <v>72</v>
      </c>
      <c r="E8" s="5">
        <v>0.75476225165453736</v>
      </c>
      <c r="F8" s="5">
        <v>1</v>
      </c>
      <c r="G8" s="5">
        <v>4.9144998780006138E-2</v>
      </c>
      <c r="H8" s="5">
        <v>6.8699971119061898E-2</v>
      </c>
      <c r="I8" s="5">
        <v>0.61390373346231197</v>
      </c>
      <c r="J8" s="5">
        <v>0.84999035005939505</v>
      </c>
      <c r="K8" s="5">
        <v>0</v>
      </c>
      <c r="L8" s="5">
        <v>62.198407469488302</v>
      </c>
      <c r="M8" s="5">
        <v>3519.3</v>
      </c>
      <c r="P8" t="s">
        <v>89</v>
      </c>
      <c r="Q8" t="s">
        <v>85</v>
      </c>
      <c r="R8" t="s">
        <v>86</v>
      </c>
      <c r="S8" s="5">
        <v>0.80260519246045448</v>
      </c>
      <c r="T8" s="5">
        <v>3.6008298302422069E-3</v>
      </c>
      <c r="U8" s="5">
        <v>5.033613012173632E-3</v>
      </c>
      <c r="V8" s="5">
        <v>0.79210128641287902</v>
      </c>
      <c r="W8" s="5">
        <v>0.80913537591663398</v>
      </c>
      <c r="X8" s="5">
        <v>0</v>
      </c>
      <c r="Y8" s="5">
        <v>1</v>
      </c>
      <c r="AL8" t="s">
        <v>100</v>
      </c>
      <c r="AM8" t="s">
        <v>97</v>
      </c>
      <c r="AN8" t="s">
        <v>86</v>
      </c>
      <c r="AO8" s="5">
        <v>829.4</v>
      </c>
      <c r="AP8" s="5">
        <v>3.0574011600274589</v>
      </c>
      <c r="AQ8" s="5">
        <v>4.2739521132865619</v>
      </c>
      <c r="AR8" s="5">
        <v>824</v>
      </c>
      <c r="AS8" s="5">
        <v>836</v>
      </c>
    </row>
    <row r="9" spans="1:52" x14ac:dyDescent="0.35">
      <c r="B9" t="s">
        <v>78</v>
      </c>
      <c r="C9" t="s">
        <v>79</v>
      </c>
      <c r="D9" t="s">
        <v>80</v>
      </c>
      <c r="E9" s="5">
        <v>0.16874099628822808</v>
      </c>
      <c r="F9" s="5">
        <v>1</v>
      </c>
      <c r="G9" s="5">
        <v>2.6896142921784372E-2</v>
      </c>
      <c r="H9" s="5">
        <v>3.75982152367553E-2</v>
      </c>
      <c r="I9" s="5">
        <v>0.11511497299118501</v>
      </c>
      <c r="J9" s="5">
        <v>0.21657876491922701</v>
      </c>
      <c r="K9" s="5">
        <v>0</v>
      </c>
      <c r="L9" s="5">
        <v>20.849048596654001</v>
      </c>
      <c r="M9" s="5">
        <v>3523.6</v>
      </c>
      <c r="Q9" t="s">
        <v>87</v>
      </c>
      <c r="R9" t="s">
        <v>86</v>
      </c>
      <c r="S9" s="5">
        <v>0.80260519246045448</v>
      </c>
      <c r="T9" s="5">
        <v>3.6008298302422069E-3</v>
      </c>
      <c r="U9" s="5">
        <v>5.033613012173632E-3</v>
      </c>
      <c r="V9" s="5">
        <v>0.79210128641287902</v>
      </c>
      <c r="W9" s="5">
        <v>0.80913537591663398</v>
      </c>
      <c r="X9" s="5">
        <v>0</v>
      </c>
      <c r="Y9" s="5">
        <v>1</v>
      </c>
      <c r="AL9" t="s">
        <v>101</v>
      </c>
      <c r="AM9" t="s">
        <v>99</v>
      </c>
      <c r="AN9" t="s">
        <v>86</v>
      </c>
      <c r="AO9" s="5">
        <v>0.80260519246045448</v>
      </c>
      <c r="AP9" s="5">
        <v>3.6008298302422069E-3</v>
      </c>
      <c r="AQ9" s="5">
        <v>5.033613012173632E-3</v>
      </c>
      <c r="AR9" s="5">
        <v>0.79210128641287902</v>
      </c>
      <c r="AS9" s="5">
        <v>0.80913537591663398</v>
      </c>
    </row>
    <row r="10" spans="1:52" x14ac:dyDescent="0.35">
      <c r="B10" t="s">
        <v>81</v>
      </c>
      <c r="C10" t="s">
        <v>79</v>
      </c>
      <c r="D10" t="s">
        <v>80</v>
      </c>
      <c r="E10" s="5">
        <v>7.9755475660274158</v>
      </c>
      <c r="F10" s="5">
        <v>1</v>
      </c>
      <c r="G10" s="5">
        <v>0.21794926967689421</v>
      </c>
      <c r="H10" s="5">
        <v>0.30467207048369765</v>
      </c>
      <c r="I10" s="5">
        <v>7.53418410586674</v>
      </c>
      <c r="J10" s="5">
        <v>8.4018811298954894</v>
      </c>
      <c r="K10" s="5">
        <v>0</v>
      </c>
      <c r="L10" s="5">
        <v>24.571668667453199</v>
      </c>
      <c r="M10" s="5">
        <v>258.7</v>
      </c>
      <c r="Q10" t="s">
        <v>88</v>
      </c>
      <c r="R10" t="s">
        <v>86</v>
      </c>
      <c r="S10" s="5">
        <v>1</v>
      </c>
      <c r="T10" s="5">
        <v>0</v>
      </c>
      <c r="U10" s="5">
        <v>0</v>
      </c>
      <c r="V10" s="5">
        <v>1</v>
      </c>
      <c r="W10" s="5">
        <v>1</v>
      </c>
      <c r="X10" s="5">
        <v>1</v>
      </c>
      <c r="Y10" s="5">
        <v>1</v>
      </c>
      <c r="AL10" t="s">
        <v>102</v>
      </c>
      <c r="AM10" t="s">
        <v>97</v>
      </c>
      <c r="AN10" t="s">
        <v>86</v>
      </c>
      <c r="AO10" s="5">
        <v>815.3</v>
      </c>
      <c r="AP10" s="5">
        <v>1.8485821511359977</v>
      </c>
      <c r="AQ10" s="5">
        <v>2.5841396591085743</v>
      </c>
      <c r="AR10" s="5">
        <v>812</v>
      </c>
      <c r="AS10" s="5">
        <v>820</v>
      </c>
    </row>
    <row r="11" spans="1:52" x14ac:dyDescent="0.35">
      <c r="P11" t="s">
        <v>90</v>
      </c>
      <c r="Q11" t="s">
        <v>85</v>
      </c>
      <c r="R11" t="s">
        <v>86</v>
      </c>
      <c r="S11" s="5">
        <v>0.83234137275869524</v>
      </c>
      <c r="T11" s="5">
        <v>1.9629860688117127E-3</v>
      </c>
      <c r="U11" s="5">
        <v>2.7440653084185238E-3</v>
      </c>
      <c r="V11" s="5">
        <v>0.82778443412963498</v>
      </c>
      <c r="W11" s="5">
        <v>0.835591266164598</v>
      </c>
      <c r="X11" s="5">
        <v>0</v>
      </c>
      <c r="Y11" s="5">
        <v>1</v>
      </c>
      <c r="AL11" t="s">
        <v>103</v>
      </c>
      <c r="AM11" t="s">
        <v>99</v>
      </c>
      <c r="AN11" t="s">
        <v>86</v>
      </c>
      <c r="AO11" s="5">
        <v>0.83234137275869524</v>
      </c>
      <c r="AP11" s="5">
        <v>1.9629860688117127E-3</v>
      </c>
      <c r="AQ11" s="5">
        <v>2.7440653084185238E-3</v>
      </c>
      <c r="AR11" s="5">
        <v>0.82778443412963498</v>
      </c>
      <c r="AS11" s="5">
        <v>0.835591266164598</v>
      </c>
    </row>
    <row r="12" spans="1:52" x14ac:dyDescent="0.35">
      <c r="Q12" t="s">
        <v>87</v>
      </c>
      <c r="R12" t="s">
        <v>86</v>
      </c>
      <c r="S12" s="5">
        <v>0.83234137275869524</v>
      </c>
      <c r="T12" s="5">
        <v>1.9629860688117127E-3</v>
      </c>
      <c r="U12" s="5">
        <v>2.7440653084185238E-3</v>
      </c>
      <c r="V12" s="5">
        <v>0.82778443412963498</v>
      </c>
      <c r="W12" s="5">
        <v>0.835591266164598</v>
      </c>
      <c r="X12" s="5">
        <v>0</v>
      </c>
      <c r="Y12" s="5">
        <v>1</v>
      </c>
      <c r="AL12" t="s">
        <v>104</v>
      </c>
      <c r="AM12" t="s">
        <v>97</v>
      </c>
      <c r="AN12" t="s">
        <v>86</v>
      </c>
      <c r="AO12" s="5">
        <v>815.5</v>
      </c>
      <c r="AP12" s="5">
        <v>2.6175503412722585</v>
      </c>
      <c r="AQ12" s="5">
        <v>3.6590830666833583</v>
      </c>
      <c r="AR12" s="5">
        <v>811</v>
      </c>
      <c r="AS12" s="5">
        <v>822</v>
      </c>
    </row>
    <row r="13" spans="1:52" x14ac:dyDescent="0.35">
      <c r="Q13" t="s">
        <v>88</v>
      </c>
      <c r="R13" t="s">
        <v>86</v>
      </c>
      <c r="S13" s="5">
        <v>1</v>
      </c>
      <c r="T13" s="5">
        <v>0</v>
      </c>
      <c r="U13" s="5">
        <v>0</v>
      </c>
      <c r="V13" s="5">
        <v>1</v>
      </c>
      <c r="W13" s="5">
        <v>1</v>
      </c>
      <c r="X13" s="5">
        <v>1</v>
      </c>
      <c r="Y13" s="5">
        <v>1</v>
      </c>
      <c r="AL13" t="s">
        <v>105</v>
      </c>
      <c r="AM13" t="s">
        <v>99</v>
      </c>
      <c r="AN13" t="s">
        <v>86</v>
      </c>
      <c r="AO13" s="5">
        <v>0.83254124414775088</v>
      </c>
      <c r="AP13" s="5">
        <v>2.9431012365895297E-3</v>
      </c>
      <c r="AQ13" s="5">
        <v>4.1141718378968446E-3</v>
      </c>
      <c r="AR13" s="5">
        <v>0.82692860079846797</v>
      </c>
      <c r="AS13" s="5">
        <v>0.83908808891262199</v>
      </c>
    </row>
    <row r="14" spans="1:52" x14ac:dyDescent="0.35">
      <c r="P14" t="s">
        <v>91</v>
      </c>
      <c r="Q14" t="s">
        <v>85</v>
      </c>
      <c r="R14" t="s">
        <v>86</v>
      </c>
      <c r="S14" s="5">
        <v>0.83254124414775088</v>
      </c>
      <c r="T14" s="5">
        <v>2.9431012365895297E-3</v>
      </c>
      <c r="U14" s="5">
        <v>4.1141718378968446E-3</v>
      </c>
      <c r="V14" s="5">
        <v>0.82692860079846797</v>
      </c>
      <c r="W14" s="5">
        <v>0.83908808891262199</v>
      </c>
      <c r="X14" s="5">
        <v>0</v>
      </c>
      <c r="Y14" s="5">
        <v>1</v>
      </c>
      <c r="AL14" t="s">
        <v>108</v>
      </c>
      <c r="AM14" t="s">
        <v>109</v>
      </c>
      <c r="AN14" t="s">
        <v>110</v>
      </c>
      <c r="AO14" s="5">
        <v>6</v>
      </c>
      <c r="AP14" s="5">
        <v>0</v>
      </c>
      <c r="AQ14" s="5">
        <v>0</v>
      </c>
      <c r="AR14" s="5">
        <v>6</v>
      </c>
      <c r="AS14" s="5">
        <v>6</v>
      </c>
    </row>
    <row r="15" spans="1:52" x14ac:dyDescent="0.35">
      <c r="Q15" t="s">
        <v>87</v>
      </c>
      <c r="R15" t="s">
        <v>86</v>
      </c>
      <c r="S15" s="5">
        <v>0.83254124414775088</v>
      </c>
      <c r="T15" s="5">
        <v>2.9431012365895297E-3</v>
      </c>
      <c r="U15" s="5">
        <v>4.1141718378968446E-3</v>
      </c>
      <c r="V15" s="5">
        <v>0.82692860079846797</v>
      </c>
      <c r="W15" s="5">
        <v>0.83908808891262199</v>
      </c>
      <c r="X15" s="5">
        <v>0</v>
      </c>
      <c r="Y15" s="5">
        <v>1</v>
      </c>
    </row>
    <row r="16" spans="1:52" x14ac:dyDescent="0.35">
      <c r="Q16" t="s">
        <v>88</v>
      </c>
      <c r="R16" t="s">
        <v>86</v>
      </c>
      <c r="S16" s="5">
        <v>1</v>
      </c>
      <c r="T16" s="5">
        <v>0</v>
      </c>
      <c r="U16" s="5">
        <v>0</v>
      </c>
      <c r="V16" s="5">
        <v>1</v>
      </c>
      <c r="W16" s="5">
        <v>1</v>
      </c>
      <c r="X16" s="5">
        <v>1</v>
      </c>
      <c r="Y16" s="5">
        <v>1</v>
      </c>
    </row>
    <row r="17" spans="16:25" x14ac:dyDescent="0.35">
      <c r="P17" t="s">
        <v>81</v>
      </c>
      <c r="Q17" t="s">
        <v>83</v>
      </c>
      <c r="R17" t="s">
        <v>80</v>
      </c>
      <c r="S17" s="5">
        <v>0.10321622037012448</v>
      </c>
      <c r="T17" s="5">
        <v>4.9904349466243737E-3</v>
      </c>
      <c r="U17" s="5">
        <v>6.9761470183234966E-3</v>
      </c>
      <c r="V17" s="5">
        <v>8.7958425850064206E-2</v>
      </c>
      <c r="W17" s="5">
        <v>0.11156380554871401</v>
      </c>
      <c r="X17" s="5">
        <v>0</v>
      </c>
      <c r="Y17" s="5">
        <v>4</v>
      </c>
    </row>
  </sheetData>
  <dataConsolidate/>
  <conditionalFormatting pivot="1" sqref="G3:G10">
    <cfRule type="expression" dxfId="31" priority="14">
      <formula>G3=200000000000000000000</formula>
    </cfRule>
  </conditionalFormatting>
  <conditionalFormatting pivot="1" sqref="T3:T17">
    <cfRule type="expression" dxfId="30" priority="13">
      <formula>T3=200000000000000000000</formula>
    </cfRule>
  </conditionalFormatting>
  <conditionalFormatting pivot="1" sqref="T3:T17">
    <cfRule type="expression" dxfId="29" priority="12">
      <formula>T3=300000000000000000000</formula>
    </cfRule>
  </conditionalFormatting>
  <conditionalFormatting pivot="1" sqref="G3:G10">
    <cfRule type="expression" dxfId="28" priority="11">
      <formula>G3=300000000000000000000</formula>
    </cfRule>
  </conditionalFormatting>
  <conditionalFormatting pivot="1" sqref="F3:F10">
    <cfRule type="expression" dxfId="27" priority="10">
      <formula>F3=0</formula>
    </cfRule>
  </conditionalFormatting>
  <conditionalFormatting pivot="1" sqref="F3:F10">
    <cfRule type="expression" dxfId="26" priority="9">
      <formula>F3=1</formula>
    </cfRule>
  </conditionalFormatting>
  <conditionalFormatting pivot="1" sqref="T3:T17">
    <cfRule type="expression" dxfId="25" priority="8">
      <formula>T3=400000000000000000000</formula>
    </cfRule>
  </conditionalFormatting>
  <conditionalFormatting pivot="1" sqref="AP3:AP14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0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8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453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50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3513</v>
      </c>
      <c r="L2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3519.3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3513</v>
      </c>
      <c r="L3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3519.3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27.5189474316815</v>
      </c>
      <c r="H4">
        <v>0.39455923358902201</v>
      </c>
      <c r="I4">
        <v>19.632231432279699</v>
      </c>
      <c r="J4">
        <v>179.123890729799</v>
      </c>
      <c r="K4">
        <v>3513</v>
      </c>
      <c r="L4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27.435787546643649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0.22077550533199378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4" cm="1">
        <f t="array" ref="R4">MIN(IF((DiscreteStatsTable[GroupByKey]=DiscreteStatsTable[[#This Row],[GroupByKey]]),(DiscreteStatsTable[GroupByKey]=DiscreteStatsTable[[#This Row],[GroupByKey]])*DiscreteStatsTable[Average]))</f>
        <v>27.017720324189501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27.777292305482401</v>
      </c>
      <c r="T4" cm="1">
        <f t="array" ref="T4">MIN(IF((DiscreteStatsTable[GroupByKey]=DiscreteStatsTable[[#This Row],[GroupByKey]]),(DiscreteStatsTable[GroupByKey]=DiscreteStatsTable[[#This Row],[GroupByKey]])*DiscreteStatsTable[Minimum]))</f>
        <v>19.469642542509501</v>
      </c>
      <c r="U4" cm="1">
        <f t="array" ref="U4">MAX(IF((DiscreteStatsTable[GroupByKey]=DiscreteStatsTable[[#This Row],[GroupByKey]]),(DiscreteStatsTable[GroupByKey]=DiscreteStatsTable[[#This Row],[GroupByKey]])*DiscreteStatsTable[Maximum]))</f>
        <v>183.10653952551701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3519.3</v>
      </c>
      <c r="W4">
        <f>IF((DiscreteStatsTable[[#This Row],[RepsRequested]]&gt;1),DiscreteStatsTable[[#This Row],[HalfWidth]],DiscreteStatsTable[[#This Row],[BatchMeansHalfWidth]])</f>
        <v>0.15793328240840504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1.6093460869137299</v>
      </c>
      <c r="H5">
        <v>1.49284481976923E-2</v>
      </c>
      <c r="I5">
        <v>1.0278678597705899</v>
      </c>
      <c r="J5">
        <v>5.6739712120906898</v>
      </c>
      <c r="K5">
        <v>3513</v>
      </c>
      <c r="L5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1.6102668298703828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5" cm="1">
        <f t="array" ref="R5">MIN(IF((DiscreteStatsTable[GroupByKey]=DiscreteStatsTable[[#This Row],[GroupByKey]]),(DiscreteStatsTable[GroupByKey]=DiscreteStatsTable[[#This Row],[GroupByKey]])*DiscreteStatsTable[Average]))</f>
        <v>1.5991853308200901</v>
      </c>
      <c r="S5" cm="1">
        <f t="array" ref="S5">MAX(IF((DiscreteStatsTable[GroupByKey]=DiscreteStatsTable[[#This Row],[GroupByKey]]),(DiscreteStatsTable[GroupByKey]=DiscreteStatsTable[[#This Row],[GroupByKey]])*DiscreteStatsTable[Average]))</f>
        <v>1.6238880135618099</v>
      </c>
      <c r="T5" cm="1">
        <f t="array" ref="T5">MIN(IF((DiscreteStatsTable[GroupByKey]=DiscreteStatsTable[[#This Row],[GroupByKey]]),(DiscreteStatsTable[GroupByKey]=DiscreteStatsTable[[#This Row],[GroupByKey]])*DiscreteStatsTable[Minimum]))</f>
        <v>1.0045948641982201</v>
      </c>
      <c r="U5" cm="1">
        <f t="array" ref="U5">MAX(IF((DiscreteStatsTable[GroupByKey]=DiscreteStatsTable[[#This Row],[GroupByKey]]),(DiscreteStatsTable[GroupByKey]=DiscreteStatsTable[[#This Row],[GroupByKey]])*DiscreteStatsTable[Maximum]))</f>
        <v>6.28992833432312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3519.3</v>
      </c>
      <c r="W5">
        <f>IF((DiscreteStatsTable[[#This Row],[RepsRequested]]&gt;1),DiscreteStatsTable[[#This Row],[HalfWidth]],DiscreteStatsTable[[#This Row],[BatchMeansHalfWidth]])</f>
        <v>5.2455524747469576E-3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25.093280074771801</v>
      </c>
      <c r="H6">
        <v>0.25338907173000502</v>
      </c>
      <c r="I6">
        <v>18.337119251947101</v>
      </c>
      <c r="J6">
        <v>115.90255585217901</v>
      </c>
      <c r="K6">
        <v>3513</v>
      </c>
      <c r="L6" t="str">
        <f>DiscreteStatsTable[[#This Row],[ProjectName]]&amp;DiscreteStatsTable[[#This Row],[Name]]&amp;DiscreteStatsTable[[#This Row],[Type]]&amp;DiscreteStatsTable[[#This Row],[Source]]</f>
        <v>Unnamed ProjectByggsatsVA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25.070758465118722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0.1502479966291097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6" cm="1">
        <f t="array" ref="R6">MIN(IF((DiscreteStatsTable[GroupByKey]=DiscreteStatsTable[[#This Row],[GroupByKey]]),(DiscreteStatsTable[GroupByKey]=DiscreteStatsTable[[#This Row],[GroupByKey]])*DiscreteStatsTable[Average]))</f>
        <v>24.804631259907101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25.303413941861201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18.255569432081501</v>
      </c>
      <c r="U6" cm="1">
        <f t="array" ref="U6">MAX(IF((DiscreteStatsTable[GroupByKey]=DiscreteStatsTable[[#This Row],[GroupByKey]]),(DiscreteStatsTable[GroupByKey]=DiscreteStatsTable[[#This Row],[GroupByKey]])*DiscreteStatsTable[Maximum]))</f>
        <v>117.578985090426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3519.3</v>
      </c>
      <c r="W6">
        <f>IF((DiscreteStatsTable[[#This Row],[RepsRequested]]&gt;1),DiscreteStatsTable[[#This Row],[HalfWidth]],DiscreteStatsTable[[#This Row],[BatchMeansHalfWidth]])</f>
        <v>0.10748094199689077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0.81632126999594201</v>
      </c>
      <c r="H7">
        <v>0.16029326977570099</v>
      </c>
      <c r="I7">
        <v>0</v>
      </c>
      <c r="J7">
        <v>57.547363665529701</v>
      </c>
      <c r="K7">
        <v>3513</v>
      </c>
      <c r="L7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0.75476225165453736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0.61390373346231197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0.84999035005939505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62.198407469488302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3519.3</v>
      </c>
      <c r="W7">
        <f>IF((DiscreteStatsTable[[#This Row],[RepsRequested]]&gt;1),DiscreteStatsTable[[#This Row],[HalfWidth]],DiscreteStatsTable[[#This Row],[BatchMeansHalfWidth]])</f>
        <v>4.9144998780006138E-2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3507</v>
      </c>
      <c r="L8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3519.3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3507</v>
      </c>
      <c r="L9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3519.3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27.275829708156401</v>
      </c>
      <c r="H10">
        <v>0.39334019032259099</v>
      </c>
      <c r="I10">
        <v>19.9135683020613</v>
      </c>
      <c r="J10">
        <v>183.10653952551701</v>
      </c>
      <c r="K10">
        <v>3507</v>
      </c>
      <c r="L10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27.435787546643649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0.22077550533199378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27.017720324189501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27.777292305482401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19.469642542509501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183.10653952551701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3519.3</v>
      </c>
      <c r="W10">
        <f>IF((DiscreteStatsTable[[#This Row],[RepsRequested]]&gt;1),DiscreteStatsTable[[#This Row],[HalfWidth]],DiscreteStatsTable[[#This Row],[BatchMeansHalfWidth]])</f>
        <v>0.15793328240840504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1.60433127864298</v>
      </c>
      <c r="H11">
        <v>1.14883679586344E-2</v>
      </c>
      <c r="I11">
        <v>1.0045948641982201</v>
      </c>
      <c r="J11">
        <v>5.46986357418427</v>
      </c>
      <c r="K11">
        <v>3507</v>
      </c>
      <c r="L11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1.6102668298703828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1.5991853308200901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1.6238880135618099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1.0045948641982201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6.28992833432312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3519.3</v>
      </c>
      <c r="W11">
        <f>IF((DiscreteStatsTable[[#This Row],[RepsRequested]]&gt;1),DiscreteStatsTable[[#This Row],[HalfWidth]],DiscreteStatsTable[[#This Row],[BatchMeansHalfWidth]])</f>
        <v>5.2455524747469576E-3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24.938465726991701</v>
      </c>
      <c r="H12">
        <v>0.23381425173399301</v>
      </c>
      <c r="I12">
        <v>18.575474380365002</v>
      </c>
      <c r="J12">
        <v>115.438268481845</v>
      </c>
      <c r="K12">
        <v>3507</v>
      </c>
      <c r="L12" t="str">
        <f>DiscreteStatsTable[[#This Row],[ProjectName]]&amp;DiscreteStatsTable[[#This Row],[Name]]&amp;DiscreteStatsTable[[#This Row],[Type]]&amp;DiscreteStatsTable[[#This Row],[Source]]</f>
        <v>Unnamed ProjectByggsatsVA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25.070758465118722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0.1502479966291097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24.804631259907101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25.303413941861201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18.255569432081501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117.578985090426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3519.3</v>
      </c>
      <c r="W12">
        <f>IF((DiscreteStatsTable[[#This Row],[RepsRequested]]&gt;1),DiscreteStatsTable[[#This Row],[HalfWidth]],DiscreteStatsTable[[#This Row],[BatchMeansHalfWidth]])</f>
        <v>0.10748094199689077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0.73303270252177199</v>
      </c>
      <c r="H13">
        <v>0.17296611225414901</v>
      </c>
      <c r="I13">
        <v>0</v>
      </c>
      <c r="J13">
        <v>62.198407469488302</v>
      </c>
      <c r="K13">
        <v>3507</v>
      </c>
      <c r="L13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0.75476225165453736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0.61390373346231197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0.84999035005939505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62.198407469488302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3519.3</v>
      </c>
      <c r="W13">
        <f>IF((DiscreteStatsTable[[#This Row],[RepsRequested]]&gt;1),DiscreteStatsTable[[#This Row],[HalfWidth]],DiscreteStatsTable[[#This Row],[BatchMeansHalfWidth]])</f>
        <v>4.9144998780006138E-2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3504</v>
      </c>
      <c r="L14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3519.3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3504</v>
      </c>
      <c r="L15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3519.3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27.468906727404001</v>
      </c>
      <c r="H16">
        <v>0.41324898549494199</v>
      </c>
      <c r="I16">
        <v>19.576338551263699</v>
      </c>
      <c r="J16">
        <v>121.927244553213</v>
      </c>
      <c r="K16">
        <v>3504</v>
      </c>
      <c r="L16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27.435787546643649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0.22077550533199378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27.017720324189501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27.777292305482401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19.469642542509501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183.10653952551701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3519.3</v>
      </c>
      <c r="W16">
        <f>IF((DiscreteStatsTable[[#This Row],[RepsRequested]]&gt;1),DiscreteStatsTable[[#This Row],[HalfWidth]],DiscreteStatsTable[[#This Row],[BatchMeansHalfWidth]])</f>
        <v>0.15793328240840504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1.60602391070007</v>
      </c>
      <c r="H17">
        <v>1.54352788949588E-2</v>
      </c>
      <c r="I17">
        <v>1.01609919659495</v>
      </c>
      <c r="J17">
        <v>5.2488174968184502</v>
      </c>
      <c r="K17">
        <v>3504</v>
      </c>
      <c r="L17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1.6102668298703828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1.5991853308200901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1.6238880135618099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1.0045948641982201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6.28992833432312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3519.3</v>
      </c>
      <c r="W17">
        <f>IF((DiscreteStatsTable[[#This Row],[RepsRequested]]&gt;1),DiscreteStatsTable[[#This Row],[HalfWidth]],DiscreteStatsTable[[#This Row],[BatchMeansHalfWidth]])</f>
        <v>5.2455524747469576E-3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25.089827528602299</v>
      </c>
      <c r="H18">
        <v>0.24375486689496101</v>
      </c>
      <c r="I18">
        <v>18.287562009702899</v>
      </c>
      <c r="J18">
        <v>89.179824055408105</v>
      </c>
      <c r="K18">
        <v>3504</v>
      </c>
      <c r="L18" t="str">
        <f>DiscreteStatsTable[[#This Row],[ProjectName]]&amp;DiscreteStatsTable[[#This Row],[Name]]&amp;DiscreteStatsTable[[#This Row],[Type]]&amp;DiscreteStatsTable[[#This Row],[Source]]</f>
        <v>Unnamed ProjectByggsatsVA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10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25.070758465118722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0.1502479966291097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24.804631259907101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25.303413941861201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18.255569432081501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117.578985090426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3519.3</v>
      </c>
      <c r="W18">
        <f>IF((DiscreteStatsTable[[#This Row],[RepsRequested]]&gt;1),DiscreteStatsTable[[#This Row],[HalfWidth]],DiscreteStatsTable[[#This Row],[BatchMeansHalfWidth]])</f>
        <v>0.10748094199689077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10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0.77305528810162505</v>
      </c>
      <c r="H19">
        <v>0.201285173365752</v>
      </c>
      <c r="I19">
        <v>0</v>
      </c>
      <c r="J19">
        <v>31.4124531188445</v>
      </c>
      <c r="K19">
        <v>3504</v>
      </c>
      <c r="L19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10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0.75476225165453736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0.61390373346231197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0.84999035005939505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62.198407469488302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3519.3</v>
      </c>
      <c r="W19">
        <f>IF((DiscreteStatsTable[[#This Row],[RepsRequested]]&gt;1),DiscreteStatsTable[[#This Row],[HalfWidth]],DiscreteStatsTable[[#This Row],[BatchMeansHalfWidth]])</f>
        <v>4.9144998780006138E-2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10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3510</v>
      </c>
      <c r="L20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10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3519.3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10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3510</v>
      </c>
      <c r="L21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10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3519.3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10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27.314156602570598</v>
      </c>
      <c r="H22">
        <v>0.42344026875267199</v>
      </c>
      <c r="I22">
        <v>19.557725984832398</v>
      </c>
      <c r="J22">
        <v>128.13162801606401</v>
      </c>
      <c r="K22">
        <v>3510</v>
      </c>
      <c r="L22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10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27.435787546643649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0.22077550533199378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27.017720324189501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27.777292305482401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19.469642542509501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183.10653952551701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3519.3</v>
      </c>
      <c r="W22">
        <f>IF((DiscreteStatsTable[[#This Row],[RepsRequested]]&gt;1),DiscreteStatsTable[[#This Row],[HalfWidth]],DiscreteStatsTable[[#This Row],[BatchMeansHalfWidth]])</f>
        <v>0.15793328240840504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10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1.6064668298986899</v>
      </c>
      <c r="H23">
        <v>1.90777028369646E-2</v>
      </c>
      <c r="I23">
        <v>1.0211104643326501</v>
      </c>
      <c r="J23">
        <v>5.9654818770468401</v>
      </c>
      <c r="K23">
        <v>3510</v>
      </c>
      <c r="L23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10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1.6102668298703828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1.5991853308200901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1.6238880135618099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1.0045948641982201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6.28992833432312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3519.3</v>
      </c>
      <c r="W23">
        <f>IF((DiscreteStatsTable[[#This Row],[RepsRequested]]&gt;1),DiscreteStatsTable[[#This Row],[HalfWidth]],DiscreteStatsTable[[#This Row],[BatchMeansHalfWidth]])</f>
        <v>5.2455524747469576E-3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10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25.017721610028701</v>
      </c>
      <c r="H24">
        <v>0.292492049106306</v>
      </c>
      <c r="I24">
        <v>18.312691997592999</v>
      </c>
      <c r="J24">
        <v>107.162140976568</v>
      </c>
      <c r="K24">
        <v>3510</v>
      </c>
      <c r="L24" t="str">
        <f>DiscreteStatsTable[[#This Row],[ProjectName]]&amp;DiscreteStatsTable[[#This Row],[Name]]&amp;DiscreteStatsTable[[#This Row],[Type]]&amp;DiscreteStatsTable[[#This Row],[Source]]</f>
        <v>Unnamed ProjectByggsatsVA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10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25.070758465118722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0.1502479966291097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24.804631259907101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25.303413941861201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18.255569432081501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117.578985090426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3519.3</v>
      </c>
      <c r="W24">
        <f>IF((DiscreteStatsTable[[#This Row],[RepsRequested]]&gt;1),DiscreteStatsTable[[#This Row],[HalfWidth]],DiscreteStatsTable[[#This Row],[BatchMeansHalfWidth]])</f>
        <v>0.10748094199689077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10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0.68996816264310901</v>
      </c>
      <c r="H25">
        <v>0.13603131333694299</v>
      </c>
      <c r="I25">
        <v>0</v>
      </c>
      <c r="J25">
        <v>33.510249095828797</v>
      </c>
      <c r="K25">
        <v>3510</v>
      </c>
      <c r="L25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10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0.75476225165453736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0.61390373346231197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0.84999035005939505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62.198407469488302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3519.3</v>
      </c>
      <c r="W25">
        <f>IF((DiscreteStatsTable[[#This Row],[RepsRequested]]&gt;1),DiscreteStatsTable[[#This Row],[HalfWidth]],DiscreteStatsTable[[#This Row],[BatchMeansHalfWidth]])</f>
        <v>4.9144998780006138E-2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10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3539</v>
      </c>
      <c r="L26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10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3519.3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10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3539</v>
      </c>
      <c r="L27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10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3519.3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10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27.017720324189501</v>
      </c>
      <c r="H28">
        <v>3E+20</v>
      </c>
      <c r="I28">
        <v>19.839432378774301</v>
      </c>
      <c r="J28">
        <v>121.597826615778</v>
      </c>
      <c r="K28">
        <v>3539</v>
      </c>
      <c r="L28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10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27.435787546643649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0.22077550533199378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27.017720324189501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27.777292305482401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19.469642542509501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183.10653952551701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3519.3</v>
      </c>
      <c r="W28">
        <f>IF((DiscreteStatsTable[[#This Row],[RepsRequested]]&gt;1),DiscreteStatsTable[[#This Row],[HalfWidth]],DiscreteStatsTable[[#This Row],[BatchMeansHalfWidth]])</f>
        <v>0.15793328240840504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10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1.5991853308200901</v>
      </c>
      <c r="H29">
        <v>1.6527569049022101E-2</v>
      </c>
      <c r="I29">
        <v>1.0080416619730399</v>
      </c>
      <c r="J29">
        <v>4.8148109899593701</v>
      </c>
      <c r="K29">
        <v>3539</v>
      </c>
      <c r="L29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10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1.6102668298703828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1.5991853308200901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1.6238880135618099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1.0045948641982201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6.28992833432312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3519.3</v>
      </c>
      <c r="W29">
        <f>IF((DiscreteStatsTable[[#This Row],[RepsRequested]]&gt;1),DiscreteStatsTable[[#This Row],[HalfWidth]],DiscreteStatsTable[[#This Row],[BatchMeansHalfWidth]])</f>
        <v>5.2455524747469576E-3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10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24.804631259907101</v>
      </c>
      <c r="H30">
        <v>3E+20</v>
      </c>
      <c r="I30">
        <v>18.512891691129902</v>
      </c>
      <c r="J30">
        <v>86.640221547770096</v>
      </c>
      <c r="K30">
        <v>3539</v>
      </c>
      <c r="L30" t="str">
        <f>DiscreteStatsTable[[#This Row],[ProjectName]]&amp;DiscreteStatsTable[[#This Row],[Name]]&amp;DiscreteStatsTable[[#This Row],[Type]]&amp;DiscreteStatsTable[[#This Row],[Source]]</f>
        <v>Unnamed ProjectByggsatsVA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10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25.070758465118722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0.1502479966291097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24.804631259907101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25.303413941861201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18.255569432081501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117.578985090426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3519.3</v>
      </c>
      <c r="W30">
        <f>IF((DiscreteStatsTable[[#This Row],[RepsRequested]]&gt;1),DiscreteStatsTable[[#This Row],[HalfWidth]],DiscreteStatsTable[[#This Row],[BatchMeansHalfWidth]])</f>
        <v>0.10748094199689077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10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0.61390373346231197</v>
      </c>
      <c r="H31">
        <v>3E+20</v>
      </c>
      <c r="I31">
        <v>0</v>
      </c>
      <c r="J31">
        <v>32.618879170073299</v>
      </c>
      <c r="K31">
        <v>3539</v>
      </c>
      <c r="L31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10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0.75476225165453736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0.61390373346231197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0.84999035005939505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62.198407469488302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3519.3</v>
      </c>
      <c r="W31">
        <f>IF((DiscreteStatsTable[[#This Row],[RepsRequested]]&gt;1),DiscreteStatsTable[[#This Row],[HalfWidth]],DiscreteStatsTable[[#This Row],[BatchMeansHalfWidth]])</f>
        <v>4.9144998780006138E-2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10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0</v>
      </c>
      <c r="I32">
        <v>0</v>
      </c>
      <c r="J32">
        <v>0</v>
      </c>
      <c r="K32">
        <v>3526</v>
      </c>
      <c r="L32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10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3519.3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10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0</v>
      </c>
      <c r="H33">
        <v>0</v>
      </c>
      <c r="I33">
        <v>0</v>
      </c>
      <c r="J33">
        <v>0</v>
      </c>
      <c r="K33">
        <v>3526</v>
      </c>
      <c r="L33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10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3519.3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10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27.629106844084799</v>
      </c>
      <c r="H34">
        <v>0.48001729709590202</v>
      </c>
      <c r="I34">
        <v>19.901516916177599</v>
      </c>
      <c r="J34">
        <v>129.581268630968</v>
      </c>
      <c r="K34">
        <v>3526</v>
      </c>
      <c r="L34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10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27.435787546643649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0.22077550533199378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27.017720324189501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27.777292305482401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19.469642542509501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183.10653952551701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3519.3</v>
      </c>
      <c r="W34">
        <f>IF((DiscreteStatsTable[[#This Row],[RepsRequested]]&gt;1),DiscreteStatsTable[[#This Row],[HalfWidth]],DiscreteStatsTable[[#This Row],[BatchMeansHalfWidth]])</f>
        <v>0.15793328240840504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10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1.61305540539911</v>
      </c>
      <c r="H35">
        <v>2.1922802686193E-2</v>
      </c>
      <c r="I35">
        <v>1.0062035138944301</v>
      </c>
      <c r="J35">
        <v>5.03608275182523</v>
      </c>
      <c r="K35">
        <v>3526</v>
      </c>
      <c r="L35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10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1.6102668298703828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1.5991853308200901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1.6238880135618099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1.0045948641982201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6.28992833432312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3519.3</v>
      </c>
      <c r="W35">
        <f>IF((DiscreteStatsTable[[#This Row],[RepsRequested]]&gt;1),DiscreteStatsTable[[#This Row],[HalfWidth]],DiscreteStatsTable[[#This Row],[BatchMeansHalfWidth]])</f>
        <v>5.2455524747469576E-3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10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25.212843204429898</v>
      </c>
      <c r="H36">
        <v>0.30972693663198098</v>
      </c>
      <c r="I36">
        <v>18.508709530992601</v>
      </c>
      <c r="J36">
        <v>89.760691955805697</v>
      </c>
      <c r="K36">
        <v>3526</v>
      </c>
      <c r="L36" t="str">
        <f>DiscreteStatsTable[[#This Row],[ProjectName]]&amp;DiscreteStatsTable[[#This Row],[Name]]&amp;DiscreteStatsTable[[#This Row],[Type]]&amp;DiscreteStatsTable[[#This Row],[Source]]</f>
        <v>Unnamed ProjectByggsatsVA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10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25.070758465118722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0.1502479966291097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24.804631259907101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25.303413941861201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18.255569432081501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117.578985090426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3519.3</v>
      </c>
      <c r="W36">
        <f>IF((DiscreteStatsTable[[#This Row],[RepsRequested]]&gt;1),DiscreteStatsTable[[#This Row],[HalfWidth]],DiscreteStatsTable[[#This Row],[BatchMeansHalfWidth]])</f>
        <v>0.10748094199689077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10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0.80320823425587196</v>
      </c>
      <c r="H37">
        <v>0.183875314022175</v>
      </c>
      <c r="I37">
        <v>0</v>
      </c>
      <c r="J37">
        <v>37.736943909923902</v>
      </c>
      <c r="K37">
        <v>3526</v>
      </c>
      <c r="L37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10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0.75476225165453736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0.61390373346231197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0.84999035005939505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62.198407469488302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3519.3</v>
      </c>
      <c r="W37">
        <f>IF((DiscreteStatsTable[[#This Row],[RepsRequested]]&gt;1),DiscreteStatsTable[[#This Row],[HalfWidth]],DiscreteStatsTable[[#This Row],[BatchMeansHalfWidth]])</f>
        <v>4.9144998780006138E-2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10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0</v>
      </c>
      <c r="I38">
        <v>0</v>
      </c>
      <c r="J38">
        <v>0</v>
      </c>
      <c r="K38">
        <v>3524</v>
      </c>
      <c r="L38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10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3519.3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10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0</v>
      </c>
      <c r="H39">
        <v>0</v>
      </c>
      <c r="I39">
        <v>0</v>
      </c>
      <c r="J39">
        <v>0</v>
      </c>
      <c r="K39">
        <v>3524</v>
      </c>
      <c r="L39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10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3519.3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10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27.777292305482401</v>
      </c>
      <c r="H40">
        <v>0.41790655682599498</v>
      </c>
      <c r="I40">
        <v>19.760072786970301</v>
      </c>
      <c r="J40">
        <v>152.64323083864599</v>
      </c>
      <c r="K40">
        <v>3524</v>
      </c>
      <c r="L40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10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27.435787546643649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0.22077550533199378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27.017720324189501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27.777292305482401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19.469642542509501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183.10653952551701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3519.3</v>
      </c>
      <c r="W40">
        <f>IF((DiscreteStatsTable[[#This Row],[RepsRequested]]&gt;1),DiscreteStatsTable[[#This Row],[HalfWidth]],DiscreteStatsTable[[#This Row],[BatchMeansHalfWidth]])</f>
        <v>0.15793328240840504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10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1.6238880135618099</v>
      </c>
      <c r="H41">
        <v>1.4568574594979299E-2</v>
      </c>
      <c r="I41">
        <v>1.0155725984964199</v>
      </c>
      <c r="J41">
        <v>6.0003527804683499</v>
      </c>
      <c r="K41">
        <v>3524</v>
      </c>
      <c r="L41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10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1.6102668298703828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1.5991853308200901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1.6238880135618099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1.0045948641982201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6.28992833432312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3519.3</v>
      </c>
      <c r="W41">
        <f>IF((DiscreteStatsTable[[#This Row],[RepsRequested]]&gt;1),DiscreteStatsTable[[#This Row],[HalfWidth]],DiscreteStatsTable[[#This Row],[BatchMeansHalfWidth]])</f>
        <v>5.2455524747469576E-3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10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25.303413941861201</v>
      </c>
      <c r="H42">
        <v>0.277998957906396</v>
      </c>
      <c r="I42">
        <v>18.2562648995827</v>
      </c>
      <c r="J42">
        <v>115.003880306957</v>
      </c>
      <c r="K42">
        <v>3524</v>
      </c>
      <c r="L42" t="str">
        <f>DiscreteStatsTable[[#This Row],[ProjectName]]&amp;DiscreteStatsTable[[#This Row],[Name]]&amp;DiscreteStatsTable[[#This Row],[Type]]&amp;DiscreteStatsTable[[#This Row],[Source]]</f>
        <v>Unnamed ProjectByggsatsVA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10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25.070758465118722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0.1502479966291097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24.804631259907101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25.303413941861201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18.255569432081501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117.578985090426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3519.3</v>
      </c>
      <c r="W42">
        <f>IF((DiscreteStatsTable[[#This Row],[RepsRequested]]&gt;1),DiscreteStatsTable[[#This Row],[HalfWidth]],DiscreteStatsTable[[#This Row],[BatchMeansHalfWidth]])</f>
        <v>0.10748094199689077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10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0.84999035005939505</v>
      </c>
      <c r="H43">
        <v>0.154450088308698</v>
      </c>
      <c r="I43">
        <v>0</v>
      </c>
      <c r="J43">
        <v>39.255306720526299</v>
      </c>
      <c r="K43">
        <v>3524</v>
      </c>
      <c r="L43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10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0.75476225165453736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0.61390373346231197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0.84999035005939505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62.198407469488302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3519.3</v>
      </c>
      <c r="W43">
        <f>IF((DiscreteStatsTable[[#This Row],[RepsRequested]]&gt;1),DiscreteStatsTable[[#This Row],[HalfWidth]],DiscreteStatsTable[[#This Row],[BatchMeansHalfWidth]])</f>
        <v>4.9144998780006138E-2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10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0</v>
      </c>
      <c r="I44">
        <v>0</v>
      </c>
      <c r="J44">
        <v>0</v>
      </c>
      <c r="K44">
        <v>3534</v>
      </c>
      <c r="L44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10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3519.3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10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0</v>
      </c>
      <c r="H45">
        <v>0</v>
      </c>
      <c r="I45">
        <v>0</v>
      </c>
      <c r="J45">
        <v>0</v>
      </c>
      <c r="K45">
        <v>3534</v>
      </c>
      <c r="L45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10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3519.3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10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27.442038506330601</v>
      </c>
      <c r="H46">
        <v>0.343094660051325</v>
      </c>
      <c r="I46">
        <v>20.136489792313601</v>
      </c>
      <c r="J46">
        <v>139.056577986006</v>
      </c>
      <c r="K46">
        <v>3534</v>
      </c>
      <c r="L46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10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27.435787546643649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0.22077550533199378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27.017720324189501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27.777292305482401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19.469642542509501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183.10653952551701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3519.3</v>
      </c>
      <c r="W46">
        <f>IF((DiscreteStatsTable[[#This Row],[RepsRequested]]&gt;1),DiscreteStatsTable[[#This Row],[HalfWidth]],DiscreteStatsTable[[#This Row],[BatchMeansHalfWidth]])</f>
        <v>0.15793328240840504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10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1.61703239385191</v>
      </c>
      <c r="H47">
        <v>1.34830510395932E-2</v>
      </c>
      <c r="I47">
        <v>1.0155163466097299</v>
      </c>
      <c r="J47">
        <v>5.7861110521025703</v>
      </c>
      <c r="K47">
        <v>3534</v>
      </c>
      <c r="L47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10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1.6102668298703828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1.5991853308200901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1.6238880135618099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1.0045948641982201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6.28992833432312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3519.3</v>
      </c>
      <c r="W47">
        <f>IF((DiscreteStatsTable[[#This Row],[RepsRequested]]&gt;1),DiscreteStatsTable[[#This Row],[HalfWidth]],DiscreteStatsTable[[#This Row],[BatchMeansHalfWidth]])</f>
        <v>5.2455524747469576E-3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10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25.066955982819</v>
      </c>
      <c r="H48">
        <v>0.21710368234667801</v>
      </c>
      <c r="I48">
        <v>18.6387510861714</v>
      </c>
      <c r="J48">
        <v>117.578985090426</v>
      </c>
      <c r="K48">
        <v>3534</v>
      </c>
      <c r="L48" t="str">
        <f>DiscreteStatsTable[[#This Row],[ProjectName]]&amp;DiscreteStatsTable[[#This Row],[Name]]&amp;DiscreteStatsTable[[#This Row],[Type]]&amp;DiscreteStatsTable[[#This Row],[Source]]</f>
        <v>Unnamed ProjectByggsatsVA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10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25.070758465118722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0.1502479966291097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24.804631259907101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25.303413941861201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18.255569432081501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117.578985090426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3519.3</v>
      </c>
      <c r="W48">
        <f>IF((DiscreteStatsTable[[#This Row],[RepsRequested]]&gt;1),DiscreteStatsTable[[#This Row],[HalfWidth]],DiscreteStatsTable[[#This Row],[BatchMeansHalfWidth]])</f>
        <v>0.10748094199689077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10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0.75805012965963403</v>
      </c>
      <c r="H49">
        <v>0.153345432365221</v>
      </c>
      <c r="I49">
        <v>0</v>
      </c>
      <c r="J49">
        <v>37.433002951234798</v>
      </c>
      <c r="K49">
        <v>3534</v>
      </c>
      <c r="L49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10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0.75476225165453736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0.61390373346231197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0.84999035005939505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62.198407469488302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3519.3</v>
      </c>
      <c r="W49">
        <f>IF((DiscreteStatsTable[[#This Row],[RepsRequested]]&gt;1),DiscreteStatsTable[[#This Row],[HalfWidth]],DiscreteStatsTable[[#This Row],[BatchMeansHalfWidth]])</f>
        <v>4.9144998780006138E-2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10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0</v>
      </c>
      <c r="I50">
        <v>0</v>
      </c>
      <c r="J50">
        <v>0</v>
      </c>
      <c r="K50">
        <v>3529</v>
      </c>
      <c r="L50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10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3519.3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10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0</v>
      </c>
      <c r="H51">
        <v>0</v>
      </c>
      <c r="I51">
        <v>0</v>
      </c>
      <c r="J51">
        <v>0</v>
      </c>
      <c r="K51">
        <v>3529</v>
      </c>
      <c r="L51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10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3519.3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10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27.2829104701358</v>
      </c>
      <c r="H52">
        <v>0.37741400198032998</v>
      </c>
      <c r="I52">
        <v>20.145418821292001</v>
      </c>
      <c r="J52">
        <v>127.320505213882</v>
      </c>
      <c r="K52">
        <v>3529</v>
      </c>
      <c r="L52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10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27.435787546643649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0.22077550533199378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27.017720324189501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27.777292305482401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19.469642542509501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183.10653952551701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3519.3</v>
      </c>
      <c r="W52">
        <f>IF((DiscreteStatsTable[[#This Row],[RepsRequested]]&gt;1),DiscreteStatsTable[[#This Row],[HalfWidth]],DiscreteStatsTable[[#This Row],[BatchMeansHalfWidth]])</f>
        <v>0.15793328240840504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10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1.6066903050178201</v>
      </c>
      <c r="H53">
        <v>1.45315585810901E-2</v>
      </c>
      <c r="I53">
        <v>1.0159317755205799</v>
      </c>
      <c r="J53">
        <v>6.28992833432312</v>
      </c>
      <c r="K53">
        <v>3529</v>
      </c>
      <c r="L53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10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1.6102668298703828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1.5991853308200901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1.6238880135618099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1.0045948641982201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6.28992833432312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3519.3</v>
      </c>
      <c r="W53">
        <f>IF((DiscreteStatsTable[[#This Row],[RepsRequested]]&gt;1),DiscreteStatsTable[[#This Row],[HalfWidth]],DiscreteStatsTable[[#This Row],[BatchMeansHalfWidth]])</f>
        <v>5.2455524747469576E-3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10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24.955923528883101</v>
      </c>
      <c r="H54">
        <v>0.242935089407678</v>
      </c>
      <c r="I54">
        <v>18.608067101304201</v>
      </c>
      <c r="J54">
        <v>98.182722336127</v>
      </c>
      <c r="K54">
        <v>3529</v>
      </c>
      <c r="L54" t="str">
        <f>DiscreteStatsTable[[#This Row],[ProjectName]]&amp;DiscreteStatsTable[[#This Row],[Name]]&amp;DiscreteStatsTable[[#This Row],[Type]]&amp;DiscreteStatsTable[[#This Row],[Source]]</f>
        <v>Unnamed ProjectByggsatsVA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10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25.070758465118722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0.1502479966291097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24.804631259907101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25.303413941861201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18.255569432081501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117.578985090426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3519.3</v>
      </c>
      <c r="W54">
        <f>IF((DiscreteStatsTable[[#This Row],[RepsRequested]]&gt;1),DiscreteStatsTable[[#This Row],[HalfWidth]],DiscreteStatsTable[[#This Row],[BatchMeansHalfWidth]])</f>
        <v>0.10748094199689077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10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0.72029663623489804</v>
      </c>
      <c r="H55">
        <v>0.14577523914808699</v>
      </c>
      <c r="I55">
        <v>0</v>
      </c>
      <c r="J55">
        <v>40.320463451259897</v>
      </c>
      <c r="K55">
        <v>3529</v>
      </c>
      <c r="L55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10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0.75476225165453736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0.61390373346231197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0.84999035005939505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62.198407469488302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3519.3</v>
      </c>
      <c r="W55">
        <f>IF((DiscreteStatsTable[[#This Row],[RepsRequested]]&gt;1),DiscreteStatsTable[[#This Row],[HalfWidth]],DiscreteStatsTable[[#This Row],[BatchMeansHalfWidth]])</f>
        <v>4.9144998780006138E-2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10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0</v>
      </c>
      <c r="I56">
        <v>0</v>
      </c>
      <c r="J56">
        <v>0</v>
      </c>
      <c r="K56">
        <v>3507</v>
      </c>
      <c r="L56" t="str">
        <f>DiscreteStatsTable[[#This Row],[ProjectName]]&amp;DiscreteStatsTable[[#This Row],[Name]]&amp;DiscreteStatsTable[[#This Row],[Type]]&amp;DiscreteStatsTable[[#This Row],[Source]]</f>
        <v>Unnamed ProjectByggsatsNVA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10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3519.3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10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0</v>
      </c>
      <c r="H57">
        <v>0</v>
      </c>
      <c r="I57">
        <v>0</v>
      </c>
      <c r="J57">
        <v>0</v>
      </c>
      <c r="K57">
        <v>3507</v>
      </c>
      <c r="L57" t="str">
        <f>DiscreteStatsTable[[#This Row],[ProjectName]]&amp;DiscreteStatsTable[[#This Row],[Name]]&amp;DiscreteStatsTable[[#This Row],[Type]]&amp;DiscreteStatsTable[[#This Row],[Source]]</f>
        <v>Unnamed ProjectByggsatsOther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10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3519.3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10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27.630966546400899</v>
      </c>
      <c r="H58">
        <v>0.372723761139583</v>
      </c>
      <c r="I58">
        <v>19.469642542509501</v>
      </c>
      <c r="J58">
        <v>137.18834789729999</v>
      </c>
      <c r="K58">
        <v>3507</v>
      </c>
      <c r="L58" t="str">
        <f>DiscreteStatsTable[[#This Row],[ProjectName]]&amp;DiscreteStatsTable[[#This Row],[Name]]&amp;DiscreteStatsTable[[#This Row],[Type]]&amp;DiscreteStatsTable[[#This Row],[Source]]</f>
        <v>Unnamed ProjectByggsatsTotal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10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27.435787546643649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0.22077550533199378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0.15793328240840504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27.017720324189501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27.777292305482401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19.469642542509501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183.10653952551701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3519.3</v>
      </c>
      <c r="W58">
        <f>IF((DiscreteStatsTable[[#This Row],[RepsRequested]]&gt;1),DiscreteStatsTable[[#This Row],[HalfWidth]],DiscreteStatsTable[[#This Row],[BatchMeansHalfWidth]])</f>
        <v>0.15793328240840504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10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1.61664874389762</v>
      </c>
      <c r="H59">
        <v>1.5926452751900098E-2</v>
      </c>
      <c r="I59">
        <v>1.0206470057164601</v>
      </c>
      <c r="J59">
        <v>4.9668821442355702</v>
      </c>
      <c r="K59">
        <v>3507</v>
      </c>
      <c r="L59" t="str">
        <f>DiscreteStatsTable[[#This Row],[ProjectName]]&amp;DiscreteStatsTable[[#This Row],[Name]]&amp;DiscreteStatsTable[[#This Row],[Type]]&amp;DiscreteStatsTable[[#This Row],[Source]]</f>
        <v>Unnamed ProjectByggsatsTransfer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10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1.6102668298703828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7.3327767313985598E-3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5.2455524747469576E-3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1.5991853308200901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1.6238880135618099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1.0045948641982201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6.28992833432312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3519.3</v>
      </c>
      <c r="W59">
        <f>IF((DiscreteStatsTable[[#This Row],[RepsRequested]]&gt;1),DiscreteStatsTable[[#This Row],[HalfWidth]],DiscreteStatsTable[[#This Row],[BatchMeansHalfWidth]])</f>
        <v>5.2455524747469576E-3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10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25.2245217928924</v>
      </c>
      <c r="H60">
        <v>0.25349772402079801</v>
      </c>
      <c r="I60">
        <v>18.255569432081501</v>
      </c>
      <c r="J60">
        <v>116.218693472238</v>
      </c>
      <c r="K60">
        <v>3507</v>
      </c>
      <c r="L60" t="str">
        <f>DiscreteStatsTable[[#This Row],[ProjectName]]&amp;DiscreteStatsTable[[#This Row],[Name]]&amp;DiscreteStatsTable[[#This Row],[Type]]&amp;DiscreteStatsTable[[#This Row],[Source]]</f>
        <v>Unnamed ProjectByggsatsVA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10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25.070758465118722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0.1502479966291097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0.10748094199689077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24.804631259907101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25.303413941861201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18.255569432081501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117.578985090426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3519.3</v>
      </c>
      <c r="W60">
        <f>IF((DiscreteStatsTable[[#This Row],[RepsRequested]]&gt;1),DiscreteStatsTable[[#This Row],[HalfWidth]],DiscreteStatsTable[[#This Row],[BatchMeansHalfWidth]])</f>
        <v>0.10748094199689077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10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0.78979600961081398</v>
      </c>
      <c r="H61">
        <v>0.13622215223325301</v>
      </c>
      <c r="I61">
        <v>0</v>
      </c>
      <c r="J61">
        <v>39.866335832356498</v>
      </c>
      <c r="K61">
        <v>3507</v>
      </c>
      <c r="L61" t="str">
        <f>DiscreteStatsTable[[#This Row],[ProjectName]]&amp;DiscreteStatsTable[[#This Row],[Name]]&amp;DiscreteStatsTable[[#This Row],[Type]]&amp;DiscreteStatsTable[[#This Row],[Source]]</f>
        <v>Unnamed ProjectByggsatsWait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10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0.75476225165453736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6.8699971119061898E-2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4.9144998780006138E-2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0.61390373346231197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0.84999035005939505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62.198407469488302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3519.3</v>
      </c>
      <c r="W61">
        <f>IF((DiscreteStatsTable[[#This Row],[RepsRequested]]&gt;1),DiscreteStatsTable[[#This Row],[HalfWidth]],DiscreteStatsTable[[#This Row],[BatchMeansHalfWidth]])</f>
        <v>4.9144998780006138E-2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10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69</v>
      </c>
      <c r="C62">
        <v>1</v>
      </c>
      <c r="D62" t="s">
        <v>78</v>
      </c>
      <c r="E62" t="s">
        <v>79</v>
      </c>
      <c r="F62" t="s">
        <v>80</v>
      </c>
      <c r="G62">
        <v>0.21239990864133301</v>
      </c>
      <c r="H62">
        <v>8.0649579297162197E-2</v>
      </c>
      <c r="I62">
        <v>0</v>
      </c>
      <c r="J62">
        <v>16.8814434637716</v>
      </c>
      <c r="K62">
        <v>3517</v>
      </c>
      <c r="L62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10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0.16874099628822808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0.11511497299118501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0.21657876491922701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20.849048596654001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3523.6</v>
      </c>
      <c r="W62" s="5">
        <f>IF((DiscreteStatsTable[[#This Row],[RepsRequested]]&gt;1),DiscreteStatsTable[[#This Row],[HalfWidth]],DiscreteStatsTable[[#This Row],[BatchMeansHalfWidth]])</f>
        <v>2.6896142921784372E-2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10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69</v>
      </c>
      <c r="C63">
        <v>2</v>
      </c>
      <c r="D63" t="s">
        <v>78</v>
      </c>
      <c r="E63" t="s">
        <v>79</v>
      </c>
      <c r="F63" t="s">
        <v>80</v>
      </c>
      <c r="G63">
        <v>0.16037463608276101</v>
      </c>
      <c r="H63">
        <v>5.8743905399568197E-2</v>
      </c>
      <c r="I63">
        <v>0</v>
      </c>
      <c r="J63">
        <v>10.206786887379099</v>
      </c>
      <c r="K63">
        <v>3512</v>
      </c>
      <c r="L63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10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0.16874099628822808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0.11511497299118501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0.21657876491922701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20.849048596654001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3523.6</v>
      </c>
      <c r="W63" s="5">
        <f>IF((DiscreteStatsTable[[#This Row],[RepsRequested]]&gt;1),DiscreteStatsTable[[#This Row],[HalfWidth]],DiscreteStatsTable[[#This Row],[BatchMeansHalfWidth]])</f>
        <v>2.6896142921784372E-2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10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69</v>
      </c>
      <c r="C64">
        <v>3</v>
      </c>
      <c r="D64" t="s">
        <v>78</v>
      </c>
      <c r="E64" t="s">
        <v>79</v>
      </c>
      <c r="F64" t="s">
        <v>80</v>
      </c>
      <c r="G64">
        <v>0.21370699971009899</v>
      </c>
      <c r="H64">
        <v>0.116556513981284</v>
      </c>
      <c r="I64">
        <v>0</v>
      </c>
      <c r="J64">
        <v>20.849048596654001</v>
      </c>
      <c r="K64">
        <v>3509</v>
      </c>
      <c r="L64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10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0.16874099628822808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0.11511497299118501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0.21657876491922701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20.849048596654001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3523.6</v>
      </c>
      <c r="W64" s="5">
        <f>IF((DiscreteStatsTable[[#This Row],[RepsRequested]]&gt;1),DiscreteStatsTable[[#This Row],[HalfWidth]],DiscreteStatsTable[[#This Row],[BatchMeansHalfWidth]])</f>
        <v>2.6896142921784372E-2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10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69</v>
      </c>
      <c r="C65">
        <v>4</v>
      </c>
      <c r="D65" t="s">
        <v>78</v>
      </c>
      <c r="E65" t="s">
        <v>79</v>
      </c>
      <c r="F65" t="s">
        <v>80</v>
      </c>
      <c r="G65">
        <v>0.11511497299118501</v>
      </c>
      <c r="H65">
        <v>4.9181157077615001E-2</v>
      </c>
      <c r="I65">
        <v>0</v>
      </c>
      <c r="J65">
        <v>15.5687547968519</v>
      </c>
      <c r="K65">
        <v>3514</v>
      </c>
      <c r="L65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10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0.16874099628822808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0.11511497299118501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0.21657876491922701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20.849048596654001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3523.6</v>
      </c>
      <c r="W65" s="5">
        <f>IF((DiscreteStatsTable[[#This Row],[RepsRequested]]&gt;1),DiscreteStatsTable[[#This Row],[HalfWidth]],DiscreteStatsTable[[#This Row],[BatchMeansHalfWidth]])</f>
        <v>2.6896142921784372E-2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10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69</v>
      </c>
      <c r="C66">
        <v>5</v>
      </c>
      <c r="D66" t="s">
        <v>78</v>
      </c>
      <c r="E66" t="s">
        <v>79</v>
      </c>
      <c r="F66" t="s">
        <v>80</v>
      </c>
      <c r="G66">
        <v>0.117260357686658</v>
      </c>
      <c r="H66">
        <v>3E+20</v>
      </c>
      <c r="I66">
        <v>0</v>
      </c>
      <c r="J66">
        <v>8.5938493238700193</v>
      </c>
      <c r="K66">
        <v>3543</v>
      </c>
      <c r="L66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10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0.16874099628822808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0.11511497299118501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0.21657876491922701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20.849048596654001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3523.6</v>
      </c>
      <c r="W66" s="5">
        <f>IF((DiscreteStatsTable[[#This Row],[RepsRequested]]&gt;1),DiscreteStatsTable[[#This Row],[HalfWidth]],DiscreteStatsTable[[#This Row],[BatchMeansHalfWidth]])</f>
        <v>2.6896142921784372E-2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10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69</v>
      </c>
      <c r="C67">
        <v>6</v>
      </c>
      <c r="D67" t="s">
        <v>78</v>
      </c>
      <c r="E67" t="s">
        <v>79</v>
      </c>
      <c r="F67" t="s">
        <v>80</v>
      </c>
      <c r="G67">
        <v>0.181154966148805</v>
      </c>
      <c r="H67">
        <v>6.17125943009963E-2</v>
      </c>
      <c r="I67">
        <v>0</v>
      </c>
      <c r="J67">
        <v>12.124580821193399</v>
      </c>
      <c r="K67">
        <v>3531</v>
      </c>
      <c r="L67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10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0.16874099628822808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0.11511497299118501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0.21657876491922701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20.849048596654001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3523.6</v>
      </c>
      <c r="W67" s="5">
        <f>IF((DiscreteStatsTable[[#This Row],[RepsRequested]]&gt;1),DiscreteStatsTable[[#This Row],[HalfWidth]],DiscreteStatsTable[[#This Row],[BatchMeansHalfWidth]])</f>
        <v>2.6896142921784372E-2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10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69</v>
      </c>
      <c r="C68">
        <v>7</v>
      </c>
      <c r="D68" t="s">
        <v>78</v>
      </c>
      <c r="E68" t="s">
        <v>79</v>
      </c>
      <c r="F68" t="s">
        <v>80</v>
      </c>
      <c r="G68">
        <v>0.21657876491922701</v>
      </c>
      <c r="H68">
        <v>5.6551407823215202E-2</v>
      </c>
      <c r="I68">
        <v>0</v>
      </c>
      <c r="J68">
        <v>11.8774335030357</v>
      </c>
      <c r="K68">
        <v>3528</v>
      </c>
      <c r="L68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10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0.16874099628822808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0.11511497299118501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0.21657876491922701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20.849048596654001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3523.6</v>
      </c>
      <c r="W68" s="5">
        <f>IF((DiscreteStatsTable[[#This Row],[RepsRequested]]&gt;1),DiscreteStatsTable[[#This Row],[HalfWidth]],DiscreteStatsTable[[#This Row],[BatchMeansHalfWidth]])</f>
        <v>2.6896142921784372E-2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10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69</v>
      </c>
      <c r="C69">
        <v>8</v>
      </c>
      <c r="D69" t="s">
        <v>78</v>
      </c>
      <c r="E69" t="s">
        <v>79</v>
      </c>
      <c r="F69" t="s">
        <v>80</v>
      </c>
      <c r="G69">
        <v>0.147312090033903</v>
      </c>
      <c r="H69">
        <v>5.0300365991110201E-2</v>
      </c>
      <c r="I69">
        <v>0</v>
      </c>
      <c r="J69">
        <v>10.6545281501076</v>
      </c>
      <c r="K69">
        <v>3537</v>
      </c>
      <c r="L69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10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0.16874099628822808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3.75982152367553E-2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0.11511497299118501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0.21657876491922701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20.849048596654001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3523.6</v>
      </c>
      <c r="W69" s="5">
        <f>IF((DiscreteStatsTable[[#This Row],[RepsRequested]]&gt;1),DiscreteStatsTable[[#This Row],[HalfWidth]],DiscreteStatsTable[[#This Row],[BatchMeansHalfWidth]])</f>
        <v>2.6896142921784372E-2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10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69</v>
      </c>
      <c r="C70">
        <v>9</v>
      </c>
      <c r="D70" t="s">
        <v>78</v>
      </c>
      <c r="E70" t="s">
        <v>79</v>
      </c>
      <c r="F70" t="s">
        <v>80</v>
      </c>
      <c r="G70">
        <v>0.15177404817014201</v>
      </c>
      <c r="H70">
        <v>4.8695793010167202E-2</v>
      </c>
      <c r="I70">
        <v>0</v>
      </c>
      <c r="J70">
        <v>8.7333066988894608</v>
      </c>
      <c r="K70">
        <v>3533</v>
      </c>
      <c r="L70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10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0.16874099628822808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3.75982152367553E-2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0.11511497299118501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0.21657876491922701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20.849048596654001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3523.6</v>
      </c>
      <c r="W70" s="5">
        <f>IF((DiscreteStatsTable[[#This Row],[RepsRequested]]&gt;1),DiscreteStatsTable[[#This Row],[HalfWidth]],DiscreteStatsTable[[#This Row],[BatchMeansHalfWidth]])</f>
        <v>2.6896142921784372E-2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10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69</v>
      </c>
      <c r="C71">
        <v>10</v>
      </c>
      <c r="D71" t="s">
        <v>78</v>
      </c>
      <c r="E71" t="s">
        <v>79</v>
      </c>
      <c r="F71" t="s">
        <v>80</v>
      </c>
      <c r="G71">
        <v>0.171733218498168</v>
      </c>
      <c r="H71">
        <v>5.60156648654676E-2</v>
      </c>
      <c r="I71">
        <v>0</v>
      </c>
      <c r="J71">
        <v>10.815266588609999</v>
      </c>
      <c r="K71">
        <v>3512</v>
      </c>
      <c r="L71" s="5" t="str">
        <f>DiscreteStatsTable[[#This Row],[ProjectName]]&amp;DiscreteStatsTable[[#This Row],[Name]]&amp;DiscreteStatsTable[[#This Row],[Type]]&amp;DiscreteStatsTable[[#This Row],[Source]]</f>
        <v>Unnamed ProjectNy Montering.QueueWaiting TimeQueue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10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0.16874099628822808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3.75982152367553E-2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2.6896142921784372E-2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0.11511497299118501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0.21657876491922701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20.849048596654001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3523.6</v>
      </c>
      <c r="W71" s="5">
        <f>IF((DiscreteStatsTable[[#This Row],[RepsRequested]]&gt;1),DiscreteStatsTable[[#This Row],[HalfWidth]],DiscreteStatsTable[[#This Row],[BatchMeansHalfWidth]])</f>
        <v>2.6896142921784372E-2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10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69</v>
      </c>
      <c r="C72">
        <v>1</v>
      </c>
      <c r="D72" t="s">
        <v>81</v>
      </c>
      <c r="E72" t="s">
        <v>79</v>
      </c>
      <c r="F72" t="s">
        <v>80</v>
      </c>
      <c r="G72">
        <v>8.1881318254987505</v>
      </c>
      <c r="H72">
        <v>2E+20</v>
      </c>
      <c r="I72">
        <v>0</v>
      </c>
      <c r="J72">
        <v>22.647653013825199</v>
      </c>
      <c r="K72">
        <v>259</v>
      </c>
      <c r="L72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10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7.9755475660274158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7.53418410586674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8.4018811298954894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24.571668667453199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258.7</v>
      </c>
      <c r="W72" s="5">
        <f>IF((DiscreteStatsTable[[#This Row],[RepsRequested]]&gt;1),DiscreteStatsTable[[#This Row],[HalfWidth]],DiscreteStatsTable[[#This Row],[BatchMeansHalfWidth]])</f>
        <v>0.21794926967689421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10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69</v>
      </c>
      <c r="C73">
        <v>2</v>
      </c>
      <c r="D73" t="s">
        <v>81</v>
      </c>
      <c r="E73" t="s">
        <v>79</v>
      </c>
      <c r="F73" t="s">
        <v>80</v>
      </c>
      <c r="G73">
        <v>8.4018811298954894</v>
      </c>
      <c r="H73">
        <v>2E+20</v>
      </c>
      <c r="I73">
        <v>0</v>
      </c>
      <c r="J73">
        <v>22.7783718656829</v>
      </c>
      <c r="K73">
        <v>239</v>
      </c>
      <c r="L73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10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7.9755475660274158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7.53418410586674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8.4018811298954894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24.571668667453199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258.7</v>
      </c>
      <c r="W73" s="5">
        <f>IF((DiscreteStatsTable[[#This Row],[RepsRequested]]&gt;1),DiscreteStatsTable[[#This Row],[HalfWidth]],DiscreteStatsTable[[#This Row],[BatchMeansHalfWidth]])</f>
        <v>0.21794926967689421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10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69</v>
      </c>
      <c r="C74">
        <v>3</v>
      </c>
      <c r="D74" t="s">
        <v>81</v>
      </c>
      <c r="E74" t="s">
        <v>79</v>
      </c>
      <c r="F74" t="s">
        <v>80</v>
      </c>
      <c r="G74">
        <v>7.53418410586674</v>
      </c>
      <c r="H74">
        <v>2E+20</v>
      </c>
      <c r="I74">
        <v>0</v>
      </c>
      <c r="J74">
        <v>21.7637893919782</v>
      </c>
      <c r="K74">
        <v>260</v>
      </c>
      <c r="L74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10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7.9755475660274158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7.53418410586674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8.4018811298954894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24.571668667453199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258.7</v>
      </c>
      <c r="W74" s="5">
        <f>IF((DiscreteStatsTable[[#This Row],[RepsRequested]]&gt;1),DiscreteStatsTable[[#This Row],[HalfWidth]],DiscreteStatsTable[[#This Row],[BatchMeansHalfWidth]])</f>
        <v>0.21794926967689421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10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69</v>
      </c>
      <c r="C75">
        <v>4</v>
      </c>
      <c r="D75" t="s">
        <v>81</v>
      </c>
      <c r="E75" t="s">
        <v>79</v>
      </c>
      <c r="F75" t="s">
        <v>80</v>
      </c>
      <c r="G75">
        <v>8.1015029549650208</v>
      </c>
      <c r="H75">
        <v>2E+20</v>
      </c>
      <c r="I75">
        <v>0</v>
      </c>
      <c r="J75">
        <v>24.571668667453199</v>
      </c>
      <c r="K75">
        <v>249</v>
      </c>
      <c r="L75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10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7.9755475660274158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7.53418410586674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8.4018811298954894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24.571668667453199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258.7</v>
      </c>
      <c r="W75" s="5">
        <f>IF((DiscreteStatsTable[[#This Row],[RepsRequested]]&gt;1),DiscreteStatsTable[[#This Row],[HalfWidth]],DiscreteStatsTable[[#This Row],[BatchMeansHalfWidth]])</f>
        <v>0.21794926967689421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10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69</v>
      </c>
      <c r="C76">
        <v>5</v>
      </c>
      <c r="D76" t="s">
        <v>81</v>
      </c>
      <c r="E76" t="s">
        <v>79</v>
      </c>
      <c r="F76" t="s">
        <v>80</v>
      </c>
      <c r="G76">
        <v>7.6154481255466804</v>
      </c>
      <c r="H76">
        <v>2E+20</v>
      </c>
      <c r="I76">
        <v>0</v>
      </c>
      <c r="J76">
        <v>21.659441446081502</v>
      </c>
      <c r="K76">
        <v>231</v>
      </c>
      <c r="L76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10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7.9755475660274158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7.53418410586674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8.4018811298954894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24.571668667453199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258.7</v>
      </c>
      <c r="W76" s="5">
        <f>IF((DiscreteStatsTable[[#This Row],[RepsRequested]]&gt;1),DiscreteStatsTable[[#This Row],[HalfWidth]],DiscreteStatsTable[[#This Row],[BatchMeansHalfWidth]])</f>
        <v>0.21794926967689421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10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69</v>
      </c>
      <c r="C77">
        <v>6</v>
      </c>
      <c r="D77" t="s">
        <v>81</v>
      </c>
      <c r="E77" t="s">
        <v>79</v>
      </c>
      <c r="F77" t="s">
        <v>80</v>
      </c>
      <c r="G77">
        <v>7.8874145298317098</v>
      </c>
      <c r="H77">
        <v>2E+20</v>
      </c>
      <c r="I77">
        <v>0</v>
      </c>
      <c r="J77">
        <v>22.367291695371001</v>
      </c>
      <c r="K77">
        <v>278</v>
      </c>
      <c r="L77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10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7.9755475660274158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7.53418410586674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8.4018811298954894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24.571668667453199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258.7</v>
      </c>
      <c r="W77" s="5">
        <f>IF((DiscreteStatsTable[[#This Row],[RepsRequested]]&gt;1),DiscreteStatsTable[[#This Row],[HalfWidth]],DiscreteStatsTable[[#This Row],[BatchMeansHalfWidth]])</f>
        <v>0.21794926967689421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10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69</v>
      </c>
      <c r="C78">
        <v>7</v>
      </c>
      <c r="D78" t="s">
        <v>81</v>
      </c>
      <c r="E78" t="s">
        <v>79</v>
      </c>
      <c r="F78" t="s">
        <v>80</v>
      </c>
      <c r="G78">
        <v>7.7206785846860901</v>
      </c>
      <c r="H78">
        <v>2E+20</v>
      </c>
      <c r="I78">
        <v>0</v>
      </c>
      <c r="J78">
        <v>23.351211034354499</v>
      </c>
      <c r="K78">
        <v>289</v>
      </c>
      <c r="L78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10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7.9755475660274158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7.53418410586674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8.4018811298954894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24.571668667453199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258.7</v>
      </c>
      <c r="W78" s="5">
        <f>IF((DiscreteStatsTable[[#This Row],[RepsRequested]]&gt;1),DiscreteStatsTable[[#This Row],[HalfWidth]],DiscreteStatsTable[[#This Row],[BatchMeansHalfWidth]])</f>
        <v>0.21794926967689421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10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69</v>
      </c>
      <c r="C79">
        <v>8</v>
      </c>
      <c r="D79" t="s">
        <v>81</v>
      </c>
      <c r="E79" t="s">
        <v>79</v>
      </c>
      <c r="F79" t="s">
        <v>80</v>
      </c>
      <c r="G79">
        <v>8.3639778905706503</v>
      </c>
      <c r="H79">
        <v>2E+20</v>
      </c>
      <c r="I79">
        <v>0</v>
      </c>
      <c r="J79">
        <v>22.579184752325101</v>
      </c>
      <c r="K79">
        <v>258</v>
      </c>
      <c r="L79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10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7.9755475660274158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0.30467207048369765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7.53418410586674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8.4018811298954894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24.571668667453199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258.7</v>
      </c>
      <c r="W79" s="5">
        <f>IF((DiscreteStatsTable[[#This Row],[RepsRequested]]&gt;1),DiscreteStatsTable[[#This Row],[HalfWidth]],DiscreteStatsTable[[#This Row],[BatchMeansHalfWidth]])</f>
        <v>0.21794926967689421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10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69</v>
      </c>
      <c r="C80">
        <v>9</v>
      </c>
      <c r="D80" t="s">
        <v>81</v>
      </c>
      <c r="E80" t="s">
        <v>79</v>
      </c>
      <c r="F80" t="s">
        <v>80</v>
      </c>
      <c r="G80">
        <v>8.1202798262665805</v>
      </c>
      <c r="H80">
        <v>2E+20</v>
      </c>
      <c r="I80">
        <v>0</v>
      </c>
      <c r="J80">
        <v>22.401706903405302</v>
      </c>
      <c r="K80">
        <v>247</v>
      </c>
      <c r="L80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10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7.9755475660274158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0.30467207048369765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7.53418410586674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8.4018811298954894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24.571668667453199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258.7</v>
      </c>
      <c r="W80" s="5">
        <f>IF((DiscreteStatsTable[[#This Row],[RepsRequested]]&gt;1),DiscreteStatsTable[[#This Row],[HalfWidth]],DiscreteStatsTable[[#This Row],[BatchMeansHalfWidth]])</f>
        <v>0.21794926967689421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10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69</v>
      </c>
      <c r="C81">
        <v>10</v>
      </c>
      <c r="D81" t="s">
        <v>81</v>
      </c>
      <c r="E81" t="s">
        <v>79</v>
      </c>
      <c r="F81" t="s">
        <v>80</v>
      </c>
      <c r="G81">
        <v>7.8219766871464396</v>
      </c>
      <c r="H81">
        <v>2E+20</v>
      </c>
      <c r="I81">
        <v>0</v>
      </c>
      <c r="J81">
        <v>22.4462455128687</v>
      </c>
      <c r="K81">
        <v>277</v>
      </c>
      <c r="L81" s="5" t="str">
        <f>DiscreteStatsTable[[#This Row],[ProjectName]]&amp;DiscreteStatsTable[[#This Row],[Name]]&amp;DiscreteStatsTable[[#This Row],[Type]]&amp;DiscreteStatsTable[[#This Row],[Source]]</f>
        <v>Unnamed ProjectReparation.QueueWaiting TimeQueue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10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7.9755475660274158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0.30467207048369765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0.21794926967689421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7.53418410586674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8.4018811298954894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24.571668667453199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258.7</v>
      </c>
      <c r="W81" s="5">
        <f>IF((DiscreteStatsTable[[#This Row],[RepsRequested]]&gt;1),DiscreteStatsTable[[#This Row],[HalfWidth]],DiscreteStatsTable[[#This Row],[BatchMeansHalfWidth]])</f>
        <v>0.21794926967689421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10</v>
      </c>
      <c r="Y81" s="5">
        <f>IF(DiscreteStatsTable[[#This Row],[RepsRequested]]=DiscreteStatsTable[[#This Row],[RepsWithStatObserved]],1,0)</f>
        <v>1</v>
      </c>
    </row>
  </sheetData>
  <phoneticPr fontId="2" type="noConversion"/>
  <conditionalFormatting sqref="H2:H81 Q2:Q81">
    <cfRule type="expression" dxfId="20" priority="23">
      <formula>H2=200000000000000000000</formula>
    </cfRule>
  </conditionalFormatting>
  <conditionalFormatting sqref="H2:H81">
    <cfRule type="expression" dxfId="19" priority="21">
      <formula>H2=300000000000000000000</formula>
    </cfRule>
  </conditionalFormatting>
  <conditionalFormatting sqref="L2:Y81">
    <cfRule type="expression" dxfId="18" priority="19">
      <formula>MOD(ROW(),2)=0</formula>
    </cfRule>
  </conditionalFormatting>
  <conditionalFormatting sqref="Y2:Y81">
    <cfRule type="expression" dxfId="17" priority="14">
      <formula>Y2=0</formula>
    </cfRule>
    <cfRule type="expression" dxfId="16" priority="16">
      <formula>Y2=1</formula>
    </cfRule>
  </conditionalFormatting>
  <conditionalFormatting sqref="Y3:Y81">
    <cfRule type="expression" dxfId="15" priority="15">
      <formula>Y3=1</formula>
    </cfRule>
  </conditionalFormatting>
  <conditionalFormatting sqref="W2:W8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81 W2:W8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5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8.453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2.726562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82</v>
      </c>
      <c r="F2" t="s">
        <v>72</v>
      </c>
      <c r="G2">
        <v>4.8362574489281203</v>
      </c>
      <c r="H2">
        <v>8.4495287503047203E-2</v>
      </c>
      <c r="I2">
        <v>0</v>
      </c>
      <c r="J2">
        <v>11</v>
      </c>
      <c r="K2">
        <v>4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4.7851917460602902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4.8974164543117702</v>
      </c>
      <c r="U2">
        <f>IF((ContinuousStatsTable[[#This Row],[RepsRequested]]&gt;1),ContinuousStatsTable[[#This Row],[HalfWidth]],ContinuousStatsTable[[#This Row],[BatchMeansHalfWidth]])</f>
        <v>2.7014915395151946E-2</v>
      </c>
    </row>
    <row r="3" spans="1:21" x14ac:dyDescent="0.35">
      <c r="A3" t="s">
        <v>66</v>
      </c>
      <c r="B3" t="s">
        <v>69</v>
      </c>
      <c r="C3">
        <v>1</v>
      </c>
      <c r="D3" t="s">
        <v>78</v>
      </c>
      <c r="E3" t="s">
        <v>83</v>
      </c>
      <c r="F3" t="s">
        <v>80</v>
      </c>
      <c r="G3">
        <v>3.7350523934578501E-2</v>
      </c>
      <c r="H3">
        <v>1.55986721299408E-2</v>
      </c>
      <c r="I3">
        <v>0</v>
      </c>
      <c r="J3">
        <v>3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2.0225700754551199E-2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3.8204494131751601E-2</v>
      </c>
      <c r="U3">
        <f>IF((ContinuousStatsTable[[#This Row],[RepsRequested]]&gt;1),ContinuousStatsTable[[#This Row],[HalfWidth]],ContinuousStatsTable[[#This Row],[BatchMeansHalfWidth]])</f>
        <v>4.7121468395371572E-3</v>
      </c>
    </row>
    <row r="4" spans="1:21" x14ac:dyDescent="0.35">
      <c r="A4" t="s">
        <v>66</v>
      </c>
      <c r="B4" t="s">
        <v>69</v>
      </c>
      <c r="C4">
        <v>1</v>
      </c>
      <c r="D4" t="s">
        <v>84</v>
      </c>
      <c r="E4" t="s">
        <v>85</v>
      </c>
      <c r="F4" t="s">
        <v>86</v>
      </c>
      <c r="G4">
        <v>0.59620888008069395</v>
      </c>
      <c r="H4">
        <v>1.65351681397445E-2</v>
      </c>
      <c r="I4">
        <v>0</v>
      </c>
      <c r="J4">
        <v>1</v>
      </c>
      <c r="K4">
        <v>0.5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0.58095472748131705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0.60761888382065699</v>
      </c>
      <c r="U4">
        <f>IF((ContinuousStatsTable[[#This Row],[RepsRequested]]&gt;1),ContinuousStatsTable[[#This Row],[HalfWidth]],ContinuousStatsTable[[#This Row],[BatchMeansHalfWidth]])</f>
        <v>5.8189077528776768E-3</v>
      </c>
    </row>
    <row r="5" spans="1:21" x14ac:dyDescent="0.35">
      <c r="A5" t="s">
        <v>66</v>
      </c>
      <c r="B5" t="s">
        <v>69</v>
      </c>
      <c r="C5">
        <v>1</v>
      </c>
      <c r="D5" t="s">
        <v>84</v>
      </c>
      <c r="E5" t="s">
        <v>87</v>
      </c>
      <c r="F5" t="s">
        <v>86</v>
      </c>
      <c r="G5">
        <v>1.1924177601613899</v>
      </c>
      <c r="H5">
        <v>3.3070336279489E-2</v>
      </c>
      <c r="I5">
        <v>0</v>
      </c>
      <c r="J5">
        <v>2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1.1619094549626301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1.21523776764131</v>
      </c>
      <c r="U5">
        <f>IF((ContinuousStatsTable[[#This Row],[RepsRequested]]&gt;1),ContinuousStatsTable[[#This Row],[HalfWidth]],ContinuousStatsTable[[#This Row],[BatchMeansHalfWidth]])</f>
        <v>1.1637815505755052E-2</v>
      </c>
    </row>
    <row r="6" spans="1:21" x14ac:dyDescent="0.35">
      <c r="A6" t="s">
        <v>66</v>
      </c>
      <c r="B6" t="s">
        <v>69</v>
      </c>
      <c r="C6">
        <v>1</v>
      </c>
      <c r="D6" t="s">
        <v>84</v>
      </c>
      <c r="E6" t="s">
        <v>88</v>
      </c>
      <c r="F6" t="s">
        <v>86</v>
      </c>
      <c r="G6">
        <v>2</v>
      </c>
      <c r="H6">
        <v>2E+20</v>
      </c>
      <c r="I6">
        <v>2</v>
      </c>
      <c r="J6">
        <v>2</v>
      </c>
      <c r="K6">
        <v>2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2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2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5">
      <c r="A7" t="s">
        <v>66</v>
      </c>
      <c r="B7" t="s">
        <v>69</v>
      </c>
      <c r="C7">
        <v>1</v>
      </c>
      <c r="D7" t="s">
        <v>89</v>
      </c>
      <c r="E7" t="s">
        <v>85</v>
      </c>
      <c r="F7" t="s">
        <v>86</v>
      </c>
      <c r="G7">
        <v>0.799831472781113</v>
      </c>
      <c r="H7">
        <v>1.01469705951041E-2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0.79210128641287902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0.80913537591663398</v>
      </c>
      <c r="U7">
        <f>IF((ContinuousStatsTable[[#This Row],[RepsRequested]]&gt;1),ContinuousStatsTable[[#This Row],[HalfWidth]],ContinuousStatsTable[[#This Row],[BatchMeansHalfWidth]])</f>
        <v>3.6008298302422069E-3</v>
      </c>
    </row>
    <row r="8" spans="1:21" x14ac:dyDescent="0.35">
      <c r="A8" t="s">
        <v>66</v>
      </c>
      <c r="B8" t="s">
        <v>69</v>
      </c>
      <c r="C8">
        <v>1</v>
      </c>
      <c r="D8" t="s">
        <v>89</v>
      </c>
      <c r="E8" t="s">
        <v>87</v>
      </c>
      <c r="F8" t="s">
        <v>86</v>
      </c>
      <c r="G8">
        <v>0.799831472781113</v>
      </c>
      <c r="H8">
        <v>1.01469705951041E-2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0.79210128641287902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0.80913537591663398</v>
      </c>
      <c r="U8">
        <f>IF((ContinuousStatsTable[[#This Row],[RepsRequested]]&gt;1),ContinuousStatsTable[[#This Row],[HalfWidth]],ContinuousStatsTable[[#This Row],[BatchMeansHalfWidth]])</f>
        <v>3.6008298302422069E-3</v>
      </c>
    </row>
    <row r="9" spans="1:21" x14ac:dyDescent="0.35">
      <c r="A9" t="s">
        <v>66</v>
      </c>
      <c r="B9" t="s">
        <v>69</v>
      </c>
      <c r="C9">
        <v>1</v>
      </c>
      <c r="D9" t="s">
        <v>89</v>
      </c>
      <c r="E9" t="s">
        <v>88</v>
      </c>
      <c r="F9" t="s">
        <v>86</v>
      </c>
      <c r="G9">
        <v>1</v>
      </c>
      <c r="H9">
        <v>2E+20</v>
      </c>
      <c r="I9">
        <v>1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1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1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0</v>
      </c>
    </row>
    <row r="10" spans="1:21" x14ac:dyDescent="0.35">
      <c r="A10" t="s">
        <v>66</v>
      </c>
      <c r="B10" t="s">
        <v>69</v>
      </c>
      <c r="C10">
        <v>1</v>
      </c>
      <c r="D10" t="s">
        <v>90</v>
      </c>
      <c r="E10" t="s">
        <v>85</v>
      </c>
      <c r="F10" t="s">
        <v>86</v>
      </c>
      <c r="G10">
        <v>0.83110931714036895</v>
      </c>
      <c r="H10">
        <v>8.4310046587979994E-3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0.82778443412963498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0.835591266164598</v>
      </c>
      <c r="U10">
        <f>IF((ContinuousStatsTable[[#This Row],[RepsRequested]]&gt;1),ContinuousStatsTable[[#This Row],[HalfWidth]],ContinuousStatsTable[[#This Row],[BatchMeansHalfWidth]])</f>
        <v>1.9629860688117127E-3</v>
      </c>
    </row>
    <row r="11" spans="1:21" x14ac:dyDescent="0.35">
      <c r="A11" t="s">
        <v>66</v>
      </c>
      <c r="B11" t="s">
        <v>69</v>
      </c>
      <c r="C11">
        <v>1</v>
      </c>
      <c r="D11" t="s">
        <v>90</v>
      </c>
      <c r="E11" t="s">
        <v>87</v>
      </c>
      <c r="F11" t="s">
        <v>86</v>
      </c>
      <c r="G11">
        <v>0.83110931714036895</v>
      </c>
      <c r="H11">
        <v>8.4310046587979994E-3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0.82778443412963498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0.835591266164598</v>
      </c>
      <c r="U11">
        <f>IF((ContinuousStatsTable[[#This Row],[RepsRequested]]&gt;1),ContinuousStatsTable[[#This Row],[HalfWidth]],ContinuousStatsTable[[#This Row],[BatchMeansHalfWidth]])</f>
        <v>1.9629860688117127E-3</v>
      </c>
    </row>
    <row r="12" spans="1:21" x14ac:dyDescent="0.35">
      <c r="A12" t="s">
        <v>66</v>
      </c>
      <c r="B12" t="s">
        <v>69</v>
      </c>
      <c r="C12">
        <v>1</v>
      </c>
      <c r="D12" t="s">
        <v>90</v>
      </c>
      <c r="E12" t="s">
        <v>88</v>
      </c>
      <c r="F12" t="s">
        <v>86</v>
      </c>
      <c r="G12">
        <v>1</v>
      </c>
      <c r="H12">
        <v>2E+20</v>
      </c>
      <c r="I12">
        <v>1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1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1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1</v>
      </c>
      <c r="U12" s="5">
        <f>IF((ContinuousStatsTable[[#This Row],[RepsRequested]]&gt;1),ContinuousStatsTable[[#This Row],[HalfWidth]],ContinuousStatsTable[[#This Row],[BatchMeansHalfWidth]])</f>
        <v>0</v>
      </c>
    </row>
    <row r="13" spans="1:21" x14ac:dyDescent="0.35">
      <c r="A13" t="s">
        <v>66</v>
      </c>
      <c r="B13" t="s">
        <v>69</v>
      </c>
      <c r="C13">
        <v>1</v>
      </c>
      <c r="D13" t="s">
        <v>91</v>
      </c>
      <c r="E13" t="s">
        <v>85</v>
      </c>
      <c r="F13" t="s">
        <v>86</v>
      </c>
      <c r="G13">
        <v>0.83225506041071495</v>
      </c>
      <c r="H13">
        <v>1.03497356734325E-2</v>
      </c>
      <c r="I13">
        <v>0</v>
      </c>
      <c r="J13">
        <v>1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0.82692860079846797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0.83908808891262199</v>
      </c>
      <c r="U13" s="5">
        <f>IF((ContinuousStatsTable[[#This Row],[RepsRequested]]&gt;1),ContinuousStatsTable[[#This Row],[HalfWidth]],ContinuousStatsTable[[#This Row],[BatchMeansHalfWidth]])</f>
        <v>2.9431012365895297E-3</v>
      </c>
    </row>
    <row r="14" spans="1:21" x14ac:dyDescent="0.35">
      <c r="A14" t="s">
        <v>66</v>
      </c>
      <c r="B14" t="s">
        <v>69</v>
      </c>
      <c r="C14">
        <v>1</v>
      </c>
      <c r="D14" t="s">
        <v>91</v>
      </c>
      <c r="E14" t="s">
        <v>87</v>
      </c>
      <c r="F14" t="s">
        <v>86</v>
      </c>
      <c r="G14">
        <v>0.83225506041071495</v>
      </c>
      <c r="H14">
        <v>1.03497356734325E-2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0.82692860079846797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0.83908808891262199</v>
      </c>
      <c r="U14" s="5">
        <f>IF((ContinuousStatsTable[[#This Row],[RepsRequested]]&gt;1),ContinuousStatsTable[[#This Row],[HalfWidth]],ContinuousStatsTable[[#This Row],[BatchMeansHalfWidth]])</f>
        <v>2.9431012365895297E-3</v>
      </c>
    </row>
    <row r="15" spans="1:21" x14ac:dyDescent="0.35">
      <c r="A15" t="s">
        <v>66</v>
      </c>
      <c r="B15" t="s">
        <v>69</v>
      </c>
      <c r="C15">
        <v>1</v>
      </c>
      <c r="D15" t="s">
        <v>91</v>
      </c>
      <c r="E15" t="s">
        <v>88</v>
      </c>
      <c r="F15" t="s">
        <v>86</v>
      </c>
      <c r="G15">
        <v>1</v>
      </c>
      <c r="H15">
        <v>2E+20</v>
      </c>
      <c r="I15">
        <v>1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1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1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 s="5">
        <f>IF((ContinuousStatsTable[[#This Row],[RepsRequested]]&gt;1),ContinuousStatsTable[[#This Row],[HalfWidth]],ContinuousStatsTable[[#This Row],[BatchMeansHalfWidth]])</f>
        <v>0</v>
      </c>
    </row>
    <row r="16" spans="1:21" x14ac:dyDescent="0.35">
      <c r="A16" t="s">
        <v>66</v>
      </c>
      <c r="B16" t="s">
        <v>69</v>
      </c>
      <c r="C16">
        <v>1</v>
      </c>
      <c r="D16" t="s">
        <v>81</v>
      </c>
      <c r="E16" t="s">
        <v>83</v>
      </c>
      <c r="F16" t="s">
        <v>80</v>
      </c>
      <c r="G16">
        <v>0.10603630714020899</v>
      </c>
      <c r="H16">
        <v>2E+20</v>
      </c>
      <c r="I16">
        <v>0</v>
      </c>
      <c r="J16">
        <v>3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8.7958425850064206E-2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0.11156380554871401</v>
      </c>
      <c r="U16" s="5">
        <f>IF((ContinuousStatsTable[[#This Row],[RepsRequested]]&gt;1),ContinuousStatsTable[[#This Row],[HalfWidth]],ContinuousStatsTable[[#This Row],[BatchMeansHalfWidth]])</f>
        <v>4.9904349466243737E-3</v>
      </c>
    </row>
    <row r="17" spans="1:21" x14ac:dyDescent="0.35">
      <c r="A17" t="s">
        <v>66</v>
      </c>
      <c r="B17" t="s">
        <v>69</v>
      </c>
      <c r="C17">
        <v>2</v>
      </c>
      <c r="D17" t="s">
        <v>70</v>
      </c>
      <c r="E17" t="s">
        <v>82</v>
      </c>
      <c r="F17" t="s">
        <v>72</v>
      </c>
      <c r="G17">
        <v>4.7862750253807</v>
      </c>
      <c r="H17">
        <v>8.7401097634280306E-2</v>
      </c>
      <c r="I17">
        <v>0</v>
      </c>
      <c r="J17">
        <v>9</v>
      </c>
      <c r="K17">
        <v>5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4.7851917460602902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4.8974164543117702</v>
      </c>
      <c r="U17" s="5">
        <f>IF((ContinuousStatsTable[[#This Row],[RepsRequested]]&gt;1),ContinuousStatsTable[[#This Row],[HalfWidth]],ContinuousStatsTable[[#This Row],[BatchMeansHalfWidth]])</f>
        <v>2.7014915395151946E-2</v>
      </c>
    </row>
    <row r="18" spans="1:21" x14ac:dyDescent="0.35">
      <c r="A18" t="s">
        <v>66</v>
      </c>
      <c r="B18" t="s">
        <v>69</v>
      </c>
      <c r="C18">
        <v>2</v>
      </c>
      <c r="D18" t="s">
        <v>78</v>
      </c>
      <c r="E18" t="s">
        <v>83</v>
      </c>
      <c r="F18" t="s">
        <v>80</v>
      </c>
      <c r="G18">
        <v>2.8161786096132801E-2</v>
      </c>
      <c r="H18">
        <v>1.1215500469225301E-2</v>
      </c>
      <c r="I18">
        <v>0</v>
      </c>
      <c r="J18">
        <v>3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2.0225700754551199E-2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3.8204494131751601E-2</v>
      </c>
      <c r="U18" s="5">
        <f>IF((ContinuousStatsTable[[#This Row],[RepsRequested]]&gt;1),ContinuousStatsTable[[#This Row],[HalfWidth]],ContinuousStatsTable[[#This Row],[BatchMeansHalfWidth]])</f>
        <v>4.7121468395371572E-3</v>
      </c>
    </row>
    <row r="19" spans="1:21" x14ac:dyDescent="0.35">
      <c r="A19" t="s">
        <v>66</v>
      </c>
      <c r="B19" t="s">
        <v>69</v>
      </c>
      <c r="C19">
        <v>2</v>
      </c>
      <c r="D19" t="s">
        <v>84</v>
      </c>
      <c r="E19" t="s">
        <v>85</v>
      </c>
      <c r="F19" t="s">
        <v>86</v>
      </c>
      <c r="G19">
        <v>0.58095472748131705</v>
      </c>
      <c r="H19">
        <v>1.8068169626894E-2</v>
      </c>
      <c r="I19">
        <v>0</v>
      </c>
      <c r="J19">
        <v>1</v>
      </c>
      <c r="K19">
        <v>0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0.58095472748131705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0.60761888382065699</v>
      </c>
      <c r="U19" s="5">
        <f>IF((ContinuousStatsTable[[#This Row],[RepsRequested]]&gt;1),ContinuousStatsTable[[#This Row],[HalfWidth]],ContinuousStatsTable[[#This Row],[BatchMeansHalfWidth]])</f>
        <v>5.8189077528776768E-3</v>
      </c>
    </row>
    <row r="20" spans="1:21" x14ac:dyDescent="0.35">
      <c r="A20" t="s">
        <v>66</v>
      </c>
      <c r="B20" t="s">
        <v>69</v>
      </c>
      <c r="C20">
        <v>2</v>
      </c>
      <c r="D20" t="s">
        <v>84</v>
      </c>
      <c r="E20" t="s">
        <v>87</v>
      </c>
      <c r="F20" t="s">
        <v>86</v>
      </c>
      <c r="G20">
        <v>1.1619094549626301</v>
      </c>
      <c r="H20">
        <v>3.6136339253788098E-2</v>
      </c>
      <c r="I20">
        <v>0</v>
      </c>
      <c r="J20">
        <v>2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1.1619094549626301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1.21523776764131</v>
      </c>
      <c r="U20" s="5">
        <f>IF((ContinuousStatsTable[[#This Row],[RepsRequested]]&gt;1),ContinuousStatsTable[[#This Row],[HalfWidth]],ContinuousStatsTable[[#This Row],[BatchMeansHalfWidth]])</f>
        <v>1.1637815505755052E-2</v>
      </c>
    </row>
    <row r="21" spans="1:21" x14ac:dyDescent="0.35">
      <c r="A21" t="s">
        <v>66</v>
      </c>
      <c r="B21" t="s">
        <v>69</v>
      </c>
      <c r="C21">
        <v>2</v>
      </c>
      <c r="D21" t="s">
        <v>84</v>
      </c>
      <c r="E21" t="s">
        <v>88</v>
      </c>
      <c r="F21" t="s">
        <v>86</v>
      </c>
      <c r="G21">
        <v>2</v>
      </c>
      <c r="H21">
        <v>2E+20</v>
      </c>
      <c r="I21">
        <v>2</v>
      </c>
      <c r="J21">
        <v>2</v>
      </c>
      <c r="K21">
        <v>2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2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2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2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5">
      <c r="A22" t="s">
        <v>66</v>
      </c>
      <c r="B22" t="s">
        <v>69</v>
      </c>
      <c r="C22">
        <v>2</v>
      </c>
      <c r="D22" t="s">
        <v>89</v>
      </c>
      <c r="E22" t="s">
        <v>85</v>
      </c>
      <c r="F22" t="s">
        <v>86</v>
      </c>
      <c r="G22">
        <v>0.806115411518457</v>
      </c>
      <c r="H22">
        <v>9.9719048664437693E-3</v>
      </c>
      <c r="I22">
        <v>0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0.79210128641287902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0.80913537591663398</v>
      </c>
      <c r="U22" s="5">
        <f>IF((ContinuousStatsTable[[#This Row],[RepsRequested]]&gt;1),ContinuousStatsTable[[#This Row],[HalfWidth]],ContinuousStatsTable[[#This Row],[BatchMeansHalfWidth]])</f>
        <v>3.6008298302422069E-3</v>
      </c>
    </row>
    <row r="23" spans="1:21" x14ac:dyDescent="0.35">
      <c r="A23" t="s">
        <v>66</v>
      </c>
      <c r="B23" t="s">
        <v>69</v>
      </c>
      <c r="C23">
        <v>2</v>
      </c>
      <c r="D23" t="s">
        <v>89</v>
      </c>
      <c r="E23" t="s">
        <v>87</v>
      </c>
      <c r="F23" t="s">
        <v>86</v>
      </c>
      <c r="G23">
        <v>0.806115411518457</v>
      </c>
      <c r="H23">
        <v>9.9719048664437693E-3</v>
      </c>
      <c r="I23">
        <v>0</v>
      </c>
      <c r="J23">
        <v>1</v>
      </c>
      <c r="K23">
        <v>1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10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0.79210128641287902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0.80913537591663398</v>
      </c>
      <c r="U23" s="5">
        <f>IF((ContinuousStatsTable[[#This Row],[RepsRequested]]&gt;1),ContinuousStatsTable[[#This Row],[HalfWidth]],ContinuousStatsTable[[#This Row],[BatchMeansHalfWidth]])</f>
        <v>3.6008298302422069E-3</v>
      </c>
    </row>
    <row r="24" spans="1:21" x14ac:dyDescent="0.35">
      <c r="A24" t="s">
        <v>66</v>
      </c>
      <c r="B24" t="s">
        <v>69</v>
      </c>
      <c r="C24">
        <v>2</v>
      </c>
      <c r="D24" t="s">
        <v>89</v>
      </c>
      <c r="E24" t="s">
        <v>88</v>
      </c>
      <c r="F24" t="s">
        <v>86</v>
      </c>
      <c r="G24">
        <v>1</v>
      </c>
      <c r="H24">
        <v>2E+20</v>
      </c>
      <c r="I24">
        <v>1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10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1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1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0</v>
      </c>
    </row>
    <row r="25" spans="1:21" x14ac:dyDescent="0.35">
      <c r="A25" t="s">
        <v>66</v>
      </c>
      <c r="B25" t="s">
        <v>69</v>
      </c>
      <c r="C25">
        <v>2</v>
      </c>
      <c r="D25" t="s">
        <v>90</v>
      </c>
      <c r="E25" t="s">
        <v>85</v>
      </c>
      <c r="F25" t="s">
        <v>86</v>
      </c>
      <c r="G25">
        <v>0.82977880197910603</v>
      </c>
      <c r="H25">
        <v>9.4296309304644204E-3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10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0.82778443412963498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0.835591266164598</v>
      </c>
      <c r="U25" s="5">
        <f>IF((ContinuousStatsTable[[#This Row],[RepsRequested]]&gt;1),ContinuousStatsTable[[#This Row],[HalfWidth]],ContinuousStatsTable[[#This Row],[BatchMeansHalfWidth]])</f>
        <v>1.9629860688117127E-3</v>
      </c>
    </row>
    <row r="26" spans="1:21" x14ac:dyDescent="0.35">
      <c r="A26" t="s">
        <v>66</v>
      </c>
      <c r="B26" t="s">
        <v>69</v>
      </c>
      <c r="C26">
        <v>2</v>
      </c>
      <c r="D26" t="s">
        <v>90</v>
      </c>
      <c r="E26" t="s">
        <v>87</v>
      </c>
      <c r="F26" t="s">
        <v>86</v>
      </c>
      <c r="G26">
        <v>0.82977880197910603</v>
      </c>
      <c r="H26">
        <v>9.4296309304644204E-3</v>
      </c>
      <c r="I26">
        <v>0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10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0.82778443412963498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0.835591266164598</v>
      </c>
      <c r="U26" s="5">
        <f>IF((ContinuousStatsTable[[#This Row],[RepsRequested]]&gt;1),ContinuousStatsTable[[#This Row],[HalfWidth]],ContinuousStatsTable[[#This Row],[BatchMeansHalfWidth]])</f>
        <v>1.9629860688117127E-3</v>
      </c>
    </row>
    <row r="27" spans="1:21" x14ac:dyDescent="0.35">
      <c r="A27" t="s">
        <v>66</v>
      </c>
      <c r="B27" t="s">
        <v>69</v>
      </c>
      <c r="C27">
        <v>2</v>
      </c>
      <c r="D27" t="s">
        <v>90</v>
      </c>
      <c r="E27" t="s">
        <v>88</v>
      </c>
      <c r="F27" t="s">
        <v>86</v>
      </c>
      <c r="G27">
        <v>1</v>
      </c>
      <c r="H27">
        <v>2E+20</v>
      </c>
      <c r="I27">
        <v>1</v>
      </c>
      <c r="J27">
        <v>1</v>
      </c>
      <c r="K27">
        <v>1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10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1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1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1</v>
      </c>
      <c r="U27" s="5">
        <f>IF((ContinuousStatsTable[[#This Row],[RepsRequested]]&gt;1),ContinuousStatsTable[[#This Row],[HalfWidth]],ContinuousStatsTable[[#This Row],[BatchMeansHalfWidth]])</f>
        <v>0</v>
      </c>
    </row>
    <row r="28" spans="1:21" x14ac:dyDescent="0.35">
      <c r="A28" t="s">
        <v>66</v>
      </c>
      <c r="B28" t="s">
        <v>69</v>
      </c>
      <c r="C28">
        <v>2</v>
      </c>
      <c r="D28" t="s">
        <v>91</v>
      </c>
      <c r="E28" t="s">
        <v>85</v>
      </c>
      <c r="F28" t="s">
        <v>86</v>
      </c>
      <c r="G28">
        <v>0.830596563080927</v>
      </c>
      <c r="H28">
        <v>8.9056503170819208E-3</v>
      </c>
      <c r="I28">
        <v>0</v>
      </c>
      <c r="J28">
        <v>1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10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0.82692860079846797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0.83908808891262199</v>
      </c>
      <c r="U28" s="5">
        <f>IF((ContinuousStatsTable[[#This Row],[RepsRequested]]&gt;1),ContinuousStatsTable[[#This Row],[HalfWidth]],ContinuousStatsTable[[#This Row],[BatchMeansHalfWidth]])</f>
        <v>2.9431012365895297E-3</v>
      </c>
    </row>
    <row r="29" spans="1:21" x14ac:dyDescent="0.35">
      <c r="A29" t="s">
        <v>66</v>
      </c>
      <c r="B29" t="s">
        <v>69</v>
      </c>
      <c r="C29">
        <v>2</v>
      </c>
      <c r="D29" t="s">
        <v>91</v>
      </c>
      <c r="E29" t="s">
        <v>87</v>
      </c>
      <c r="F29" t="s">
        <v>86</v>
      </c>
      <c r="G29">
        <v>0.830596563080927</v>
      </c>
      <c r="H29">
        <v>8.9056503170819208E-3</v>
      </c>
      <c r="I29">
        <v>0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10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0.82692860079846797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0.83908808891262199</v>
      </c>
      <c r="U29" s="5">
        <f>IF((ContinuousStatsTable[[#This Row],[RepsRequested]]&gt;1),ContinuousStatsTable[[#This Row],[HalfWidth]],ContinuousStatsTable[[#This Row],[BatchMeansHalfWidth]])</f>
        <v>2.9431012365895297E-3</v>
      </c>
    </row>
    <row r="30" spans="1:21" x14ac:dyDescent="0.35">
      <c r="A30" t="s">
        <v>66</v>
      </c>
      <c r="B30" t="s">
        <v>69</v>
      </c>
      <c r="C30">
        <v>2</v>
      </c>
      <c r="D30" t="s">
        <v>91</v>
      </c>
      <c r="E30" t="s">
        <v>88</v>
      </c>
      <c r="F30" t="s">
        <v>86</v>
      </c>
      <c r="G30">
        <v>1</v>
      </c>
      <c r="H30">
        <v>2E+20</v>
      </c>
      <c r="I30">
        <v>1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10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1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1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 s="5">
        <f>IF((ContinuousStatsTable[[#This Row],[RepsRequested]]&gt;1),ContinuousStatsTable[[#This Row],[HalfWidth]],ContinuousStatsTable[[#This Row],[BatchMeansHalfWidth]])</f>
        <v>0</v>
      </c>
    </row>
    <row r="31" spans="1:21" x14ac:dyDescent="0.35">
      <c r="A31" t="s">
        <v>66</v>
      </c>
      <c r="B31" t="s">
        <v>69</v>
      </c>
      <c r="C31">
        <v>2</v>
      </c>
      <c r="D31" t="s">
        <v>81</v>
      </c>
      <c r="E31" t="s">
        <v>83</v>
      </c>
      <c r="F31" t="s">
        <v>80</v>
      </c>
      <c r="G31">
        <v>0.10040247950225099</v>
      </c>
      <c r="H31">
        <v>2E+20</v>
      </c>
      <c r="I31">
        <v>0</v>
      </c>
      <c r="J31">
        <v>3</v>
      </c>
      <c r="K31">
        <v>0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10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8.7958425850064206E-2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0.11156380554871401</v>
      </c>
      <c r="U31" s="5">
        <f>IF((ContinuousStatsTable[[#This Row],[RepsRequested]]&gt;1),ContinuousStatsTable[[#This Row],[HalfWidth]],ContinuousStatsTable[[#This Row],[BatchMeansHalfWidth]])</f>
        <v>4.9904349466243737E-3</v>
      </c>
    </row>
    <row r="32" spans="1:21" x14ac:dyDescent="0.35">
      <c r="A32" t="s">
        <v>66</v>
      </c>
      <c r="B32" t="s">
        <v>69</v>
      </c>
      <c r="C32">
        <v>3</v>
      </c>
      <c r="D32" t="s">
        <v>70</v>
      </c>
      <c r="E32" t="s">
        <v>82</v>
      </c>
      <c r="F32" t="s">
        <v>72</v>
      </c>
      <c r="G32">
        <v>4.81872204924057</v>
      </c>
      <c r="H32">
        <v>9.8701256735505893E-2</v>
      </c>
      <c r="I32">
        <v>0</v>
      </c>
      <c r="J32">
        <v>11</v>
      </c>
      <c r="K32">
        <v>5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10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4.7851917460602902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4.8974164543117702</v>
      </c>
      <c r="U32" s="5">
        <f>IF((ContinuousStatsTable[[#This Row],[RepsRequested]]&gt;1),ContinuousStatsTable[[#This Row],[HalfWidth]],ContinuousStatsTable[[#This Row],[BatchMeansHalfWidth]])</f>
        <v>2.7014915395151946E-2</v>
      </c>
    </row>
    <row r="33" spans="1:21" x14ac:dyDescent="0.35">
      <c r="A33" t="s">
        <v>66</v>
      </c>
      <c r="B33" t="s">
        <v>69</v>
      </c>
      <c r="C33">
        <v>3</v>
      </c>
      <c r="D33" t="s">
        <v>78</v>
      </c>
      <c r="E33" t="s">
        <v>83</v>
      </c>
      <c r="F33" t="s">
        <v>80</v>
      </c>
      <c r="G33">
        <v>3.7494893099136901E-2</v>
      </c>
      <c r="H33">
        <v>2.1447079340136399E-2</v>
      </c>
      <c r="I33">
        <v>0</v>
      </c>
      <c r="J33">
        <v>5</v>
      </c>
      <c r="K33">
        <v>0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10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2.0225700754551199E-2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3.8204494131751601E-2</v>
      </c>
      <c r="U33" s="5">
        <f>IF((ContinuousStatsTable[[#This Row],[RepsRequested]]&gt;1),ContinuousStatsTable[[#This Row],[HalfWidth]],ContinuousStatsTable[[#This Row],[BatchMeansHalfWidth]])</f>
        <v>4.7121468395371572E-3</v>
      </c>
    </row>
    <row r="34" spans="1:21" x14ac:dyDescent="0.35">
      <c r="A34" t="s">
        <v>66</v>
      </c>
      <c r="B34" t="s">
        <v>69</v>
      </c>
      <c r="C34">
        <v>3</v>
      </c>
      <c r="D34" t="s">
        <v>84</v>
      </c>
      <c r="E34" t="s">
        <v>85</v>
      </c>
      <c r="F34" t="s">
        <v>86</v>
      </c>
      <c r="G34">
        <v>0.59213389015754403</v>
      </c>
      <c r="H34">
        <v>3E+20</v>
      </c>
      <c r="I34">
        <v>0</v>
      </c>
      <c r="J34">
        <v>1</v>
      </c>
      <c r="K34">
        <v>0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10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0.58095472748131705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0.60761888382065699</v>
      </c>
      <c r="U34" s="5">
        <f>IF((ContinuousStatsTable[[#This Row],[RepsRequested]]&gt;1),ContinuousStatsTable[[#This Row],[HalfWidth]],ContinuousStatsTable[[#This Row],[BatchMeansHalfWidth]])</f>
        <v>5.8189077528776768E-3</v>
      </c>
    </row>
    <row r="35" spans="1:21" x14ac:dyDescent="0.35">
      <c r="A35" t="s">
        <v>66</v>
      </c>
      <c r="B35" t="s">
        <v>69</v>
      </c>
      <c r="C35">
        <v>3</v>
      </c>
      <c r="D35" t="s">
        <v>84</v>
      </c>
      <c r="E35" t="s">
        <v>87</v>
      </c>
      <c r="F35" t="s">
        <v>86</v>
      </c>
      <c r="G35">
        <v>1.1842677803150901</v>
      </c>
      <c r="H35">
        <v>3E+20</v>
      </c>
      <c r="I35">
        <v>0</v>
      </c>
      <c r="J35">
        <v>2</v>
      </c>
      <c r="K35">
        <v>0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10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1.1619094549626301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1.21523776764131</v>
      </c>
      <c r="U35" s="5">
        <f>IF((ContinuousStatsTable[[#This Row],[RepsRequested]]&gt;1),ContinuousStatsTable[[#This Row],[HalfWidth]],ContinuousStatsTable[[#This Row],[BatchMeansHalfWidth]])</f>
        <v>1.1637815505755052E-2</v>
      </c>
    </row>
    <row r="36" spans="1:21" x14ac:dyDescent="0.35">
      <c r="A36" t="s">
        <v>66</v>
      </c>
      <c r="B36" t="s">
        <v>69</v>
      </c>
      <c r="C36">
        <v>3</v>
      </c>
      <c r="D36" t="s">
        <v>84</v>
      </c>
      <c r="E36" t="s">
        <v>88</v>
      </c>
      <c r="F36" t="s">
        <v>86</v>
      </c>
      <c r="G36">
        <v>2</v>
      </c>
      <c r="H36">
        <v>2E+20</v>
      </c>
      <c r="I36">
        <v>2</v>
      </c>
      <c r="J36">
        <v>2</v>
      </c>
      <c r="K36">
        <v>2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10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2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2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2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35">
      <c r="A37" t="s">
        <v>66</v>
      </c>
      <c r="B37" t="s">
        <v>69</v>
      </c>
      <c r="C37">
        <v>3</v>
      </c>
      <c r="D37" t="s">
        <v>89</v>
      </c>
      <c r="E37" t="s">
        <v>85</v>
      </c>
      <c r="F37" t="s">
        <v>86</v>
      </c>
      <c r="G37">
        <v>0.802957038593899</v>
      </c>
      <c r="H37">
        <v>8.6775976788474995E-3</v>
      </c>
      <c r="I37">
        <v>0</v>
      </c>
      <c r="J37">
        <v>1</v>
      </c>
      <c r="K37">
        <v>1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10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0.79210128641287902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0.80913537591663398</v>
      </c>
      <c r="U37" s="5">
        <f>IF((ContinuousStatsTable[[#This Row],[RepsRequested]]&gt;1),ContinuousStatsTable[[#This Row],[HalfWidth]],ContinuousStatsTable[[#This Row],[BatchMeansHalfWidth]])</f>
        <v>3.6008298302422069E-3</v>
      </c>
    </row>
    <row r="38" spans="1:21" x14ac:dyDescent="0.35">
      <c r="A38" t="s">
        <v>66</v>
      </c>
      <c r="B38" t="s">
        <v>69</v>
      </c>
      <c r="C38">
        <v>3</v>
      </c>
      <c r="D38" t="s">
        <v>89</v>
      </c>
      <c r="E38" t="s">
        <v>87</v>
      </c>
      <c r="F38" t="s">
        <v>86</v>
      </c>
      <c r="G38">
        <v>0.802957038593899</v>
      </c>
      <c r="H38">
        <v>8.6775976788474995E-3</v>
      </c>
      <c r="I38">
        <v>0</v>
      </c>
      <c r="J38">
        <v>1</v>
      </c>
      <c r="K38">
        <v>1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10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0.79210128641287902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0.80913537591663398</v>
      </c>
      <c r="U38" s="5">
        <f>IF((ContinuousStatsTable[[#This Row],[RepsRequested]]&gt;1),ContinuousStatsTable[[#This Row],[HalfWidth]],ContinuousStatsTable[[#This Row],[BatchMeansHalfWidth]])</f>
        <v>3.6008298302422069E-3</v>
      </c>
    </row>
    <row r="39" spans="1:21" x14ac:dyDescent="0.35">
      <c r="A39" t="s">
        <v>66</v>
      </c>
      <c r="B39" t="s">
        <v>69</v>
      </c>
      <c r="C39">
        <v>3</v>
      </c>
      <c r="D39" t="s">
        <v>89</v>
      </c>
      <c r="E39" t="s">
        <v>88</v>
      </c>
      <c r="F39" t="s">
        <v>86</v>
      </c>
      <c r="G39">
        <v>1</v>
      </c>
      <c r="H39">
        <v>2E+20</v>
      </c>
      <c r="I39">
        <v>1</v>
      </c>
      <c r="J39">
        <v>1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10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1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1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</v>
      </c>
      <c r="U39" s="5">
        <f>IF((ContinuousStatsTable[[#This Row],[RepsRequested]]&gt;1),ContinuousStatsTable[[#This Row],[HalfWidth]],ContinuousStatsTable[[#This Row],[BatchMeansHalfWidth]])</f>
        <v>0</v>
      </c>
    </row>
    <row r="40" spans="1:21" x14ac:dyDescent="0.35">
      <c r="A40" t="s">
        <v>66</v>
      </c>
      <c r="B40" t="s">
        <v>69</v>
      </c>
      <c r="C40">
        <v>3</v>
      </c>
      <c r="D40" t="s">
        <v>90</v>
      </c>
      <c r="E40" t="s">
        <v>85</v>
      </c>
      <c r="F40" t="s">
        <v>86</v>
      </c>
      <c r="G40">
        <v>0.82935623531965497</v>
      </c>
      <c r="H40">
        <v>1.05301596525543E-2</v>
      </c>
      <c r="I40">
        <v>0</v>
      </c>
      <c r="J40">
        <v>1</v>
      </c>
      <c r="K40">
        <v>1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10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0.82778443412963498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0.835591266164598</v>
      </c>
      <c r="U40" s="5">
        <f>IF((ContinuousStatsTable[[#This Row],[RepsRequested]]&gt;1),ContinuousStatsTable[[#This Row],[HalfWidth]],ContinuousStatsTable[[#This Row],[BatchMeansHalfWidth]])</f>
        <v>1.9629860688117127E-3</v>
      </c>
    </row>
    <row r="41" spans="1:21" x14ac:dyDescent="0.35">
      <c r="A41" t="s">
        <v>66</v>
      </c>
      <c r="B41" t="s">
        <v>69</v>
      </c>
      <c r="C41">
        <v>3</v>
      </c>
      <c r="D41" t="s">
        <v>90</v>
      </c>
      <c r="E41" t="s">
        <v>87</v>
      </c>
      <c r="F41" t="s">
        <v>86</v>
      </c>
      <c r="G41">
        <v>0.82935623531965497</v>
      </c>
      <c r="H41">
        <v>1.05301596525543E-2</v>
      </c>
      <c r="I41">
        <v>0</v>
      </c>
      <c r="J41">
        <v>1</v>
      </c>
      <c r="K41">
        <v>1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10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0.82778443412963498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0.835591266164598</v>
      </c>
      <c r="U41" s="5">
        <f>IF((ContinuousStatsTable[[#This Row],[RepsRequested]]&gt;1),ContinuousStatsTable[[#This Row],[HalfWidth]],ContinuousStatsTable[[#This Row],[BatchMeansHalfWidth]])</f>
        <v>1.9629860688117127E-3</v>
      </c>
    </row>
    <row r="42" spans="1:21" x14ac:dyDescent="0.35">
      <c r="A42" t="s">
        <v>66</v>
      </c>
      <c r="B42" t="s">
        <v>69</v>
      </c>
      <c r="C42">
        <v>3</v>
      </c>
      <c r="D42" t="s">
        <v>90</v>
      </c>
      <c r="E42" t="s">
        <v>88</v>
      </c>
      <c r="F42" t="s">
        <v>86</v>
      </c>
      <c r="G42">
        <v>1</v>
      </c>
      <c r="H42">
        <v>2E+20</v>
      </c>
      <c r="I42">
        <v>1</v>
      </c>
      <c r="J42">
        <v>1</v>
      </c>
      <c r="K42">
        <v>1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10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1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1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1</v>
      </c>
      <c r="U42" s="5">
        <f>IF((ContinuousStatsTable[[#This Row],[RepsRequested]]&gt;1),ContinuousStatsTable[[#This Row],[HalfWidth]],ContinuousStatsTable[[#This Row],[BatchMeansHalfWidth]])</f>
        <v>0</v>
      </c>
    </row>
    <row r="43" spans="1:21" x14ac:dyDescent="0.35">
      <c r="A43" t="s">
        <v>66</v>
      </c>
      <c r="B43" t="s">
        <v>69</v>
      </c>
      <c r="C43">
        <v>3</v>
      </c>
      <c r="D43" t="s">
        <v>91</v>
      </c>
      <c r="E43" t="s">
        <v>85</v>
      </c>
      <c r="F43" t="s">
        <v>86</v>
      </c>
      <c r="G43">
        <v>0.83152303682254802</v>
      </c>
      <c r="H43">
        <v>9.3049498985442701E-3</v>
      </c>
      <c r="I43">
        <v>0</v>
      </c>
      <c r="J43">
        <v>1</v>
      </c>
      <c r="K43">
        <v>1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10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0.82692860079846797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0.83908808891262199</v>
      </c>
      <c r="U43" s="5">
        <f>IF((ContinuousStatsTable[[#This Row],[RepsRequested]]&gt;1),ContinuousStatsTable[[#This Row],[HalfWidth]],ContinuousStatsTable[[#This Row],[BatchMeansHalfWidth]])</f>
        <v>2.9431012365895297E-3</v>
      </c>
    </row>
    <row r="44" spans="1:21" x14ac:dyDescent="0.35">
      <c r="A44" t="s">
        <v>66</v>
      </c>
      <c r="B44" t="s">
        <v>69</v>
      </c>
      <c r="C44">
        <v>3</v>
      </c>
      <c r="D44" t="s">
        <v>91</v>
      </c>
      <c r="E44" t="s">
        <v>87</v>
      </c>
      <c r="F44" t="s">
        <v>86</v>
      </c>
      <c r="G44">
        <v>0.83152303682254802</v>
      </c>
      <c r="H44">
        <v>9.3049498985442701E-3</v>
      </c>
      <c r="I44">
        <v>0</v>
      </c>
      <c r="J44">
        <v>1</v>
      </c>
      <c r="K44">
        <v>1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10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0.82692860079846797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0.83908808891262199</v>
      </c>
      <c r="U44" s="5">
        <f>IF((ContinuousStatsTable[[#This Row],[RepsRequested]]&gt;1),ContinuousStatsTable[[#This Row],[HalfWidth]],ContinuousStatsTable[[#This Row],[BatchMeansHalfWidth]])</f>
        <v>2.9431012365895297E-3</v>
      </c>
    </row>
    <row r="45" spans="1:21" x14ac:dyDescent="0.35">
      <c r="A45" t="s">
        <v>66</v>
      </c>
      <c r="B45" t="s">
        <v>69</v>
      </c>
      <c r="C45">
        <v>3</v>
      </c>
      <c r="D45" t="s">
        <v>91</v>
      </c>
      <c r="E45" t="s">
        <v>88</v>
      </c>
      <c r="F45" t="s">
        <v>86</v>
      </c>
      <c r="G45">
        <v>1</v>
      </c>
      <c r="H45">
        <v>2E+20</v>
      </c>
      <c r="I45">
        <v>1</v>
      </c>
      <c r="J45">
        <v>1</v>
      </c>
      <c r="K45">
        <v>1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10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1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1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 s="5">
        <f>IF((ContinuousStatsTable[[#This Row],[RepsRequested]]&gt;1),ContinuousStatsTable[[#This Row],[HalfWidth]],ContinuousStatsTable[[#This Row],[BatchMeansHalfWidth]])</f>
        <v>0</v>
      </c>
    </row>
    <row r="46" spans="1:21" x14ac:dyDescent="0.35">
      <c r="A46" t="s">
        <v>66</v>
      </c>
      <c r="B46" t="s">
        <v>69</v>
      </c>
      <c r="C46">
        <v>3</v>
      </c>
      <c r="D46" t="s">
        <v>81</v>
      </c>
      <c r="E46" t="s">
        <v>83</v>
      </c>
      <c r="F46" t="s">
        <v>80</v>
      </c>
      <c r="G46">
        <v>9.9187264146300705E-2</v>
      </c>
      <c r="H46">
        <v>2E+20</v>
      </c>
      <c r="I46">
        <v>0</v>
      </c>
      <c r="J46">
        <v>4</v>
      </c>
      <c r="K46">
        <v>2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10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8.7958425850064206E-2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0.11156380554871401</v>
      </c>
      <c r="U46" s="5">
        <f>IF((ContinuousStatsTable[[#This Row],[RepsRequested]]&gt;1),ContinuousStatsTable[[#This Row],[HalfWidth]],ContinuousStatsTable[[#This Row],[BatchMeansHalfWidth]])</f>
        <v>4.9904349466243737E-3</v>
      </c>
    </row>
    <row r="47" spans="1:21" x14ac:dyDescent="0.35">
      <c r="A47" t="s">
        <v>66</v>
      </c>
      <c r="B47" t="s">
        <v>69</v>
      </c>
      <c r="C47">
        <v>4</v>
      </c>
      <c r="D47" t="s">
        <v>70</v>
      </c>
      <c r="E47" t="s">
        <v>82</v>
      </c>
      <c r="F47" t="s">
        <v>72</v>
      </c>
      <c r="G47">
        <v>4.7954360179062299</v>
      </c>
      <c r="H47">
        <v>9.2940434615929199E-2</v>
      </c>
      <c r="I47">
        <v>0</v>
      </c>
      <c r="J47">
        <v>10</v>
      </c>
      <c r="K47">
        <v>4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10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4.7851917460602902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4.8974164543117702</v>
      </c>
      <c r="U47" s="5">
        <f>IF((ContinuousStatsTable[[#This Row],[RepsRequested]]&gt;1),ContinuousStatsTable[[#This Row],[HalfWidth]],ContinuousStatsTable[[#This Row],[BatchMeansHalfWidth]])</f>
        <v>2.7014915395151946E-2</v>
      </c>
    </row>
    <row r="48" spans="1:21" x14ac:dyDescent="0.35">
      <c r="A48" t="s">
        <v>66</v>
      </c>
      <c r="B48" t="s">
        <v>69</v>
      </c>
      <c r="C48">
        <v>4</v>
      </c>
      <c r="D48" t="s">
        <v>78</v>
      </c>
      <c r="E48" t="s">
        <v>83</v>
      </c>
      <c r="F48" t="s">
        <v>80</v>
      </c>
      <c r="G48">
        <v>2.0225700754551199E-2</v>
      </c>
      <c r="H48">
        <v>8.7689624158715992E-3</v>
      </c>
      <c r="I48">
        <v>0</v>
      </c>
      <c r="J48">
        <v>3</v>
      </c>
      <c r="K48">
        <v>0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10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2.0225700754551199E-2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3.8204494131751601E-2</v>
      </c>
      <c r="U48" s="5">
        <f>IF((ContinuousStatsTable[[#This Row],[RepsRequested]]&gt;1),ContinuousStatsTable[[#This Row],[HalfWidth]],ContinuousStatsTable[[#This Row],[BatchMeansHalfWidth]])</f>
        <v>4.7121468395371572E-3</v>
      </c>
    </row>
    <row r="49" spans="1:21" x14ac:dyDescent="0.35">
      <c r="A49" t="s">
        <v>66</v>
      </c>
      <c r="B49" t="s">
        <v>69</v>
      </c>
      <c r="C49">
        <v>4</v>
      </c>
      <c r="D49" t="s">
        <v>84</v>
      </c>
      <c r="E49" t="s">
        <v>85</v>
      </c>
      <c r="F49" t="s">
        <v>86</v>
      </c>
      <c r="G49">
        <v>0.58692356837193405</v>
      </c>
      <c r="H49">
        <v>2.17961534115181E-2</v>
      </c>
      <c r="I49">
        <v>0</v>
      </c>
      <c r="J49">
        <v>1</v>
      </c>
      <c r="K49">
        <v>0.5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10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0.58095472748131705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0.60761888382065699</v>
      </c>
      <c r="U49" s="5">
        <f>IF((ContinuousStatsTable[[#This Row],[RepsRequested]]&gt;1),ContinuousStatsTable[[#This Row],[HalfWidth]],ContinuousStatsTable[[#This Row],[BatchMeansHalfWidth]])</f>
        <v>5.8189077528776768E-3</v>
      </c>
    </row>
    <row r="50" spans="1:21" x14ac:dyDescent="0.35">
      <c r="A50" t="s">
        <v>66</v>
      </c>
      <c r="B50" t="s">
        <v>69</v>
      </c>
      <c r="C50">
        <v>4</v>
      </c>
      <c r="D50" t="s">
        <v>84</v>
      </c>
      <c r="E50" t="s">
        <v>87</v>
      </c>
      <c r="F50" t="s">
        <v>86</v>
      </c>
      <c r="G50">
        <v>1.1738471367438701</v>
      </c>
      <c r="H50">
        <v>4.3592306823036199E-2</v>
      </c>
      <c r="I50">
        <v>0</v>
      </c>
      <c r="J50">
        <v>2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10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1.1619094549626301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1.21523776764131</v>
      </c>
      <c r="U50" s="5">
        <f>IF((ContinuousStatsTable[[#This Row],[RepsRequested]]&gt;1),ContinuousStatsTable[[#This Row],[HalfWidth]],ContinuousStatsTable[[#This Row],[BatchMeansHalfWidth]])</f>
        <v>1.1637815505755052E-2</v>
      </c>
    </row>
    <row r="51" spans="1:21" x14ac:dyDescent="0.35">
      <c r="A51" t="s">
        <v>66</v>
      </c>
      <c r="B51" t="s">
        <v>69</v>
      </c>
      <c r="C51">
        <v>4</v>
      </c>
      <c r="D51" t="s">
        <v>84</v>
      </c>
      <c r="E51" t="s">
        <v>88</v>
      </c>
      <c r="F51" t="s">
        <v>86</v>
      </c>
      <c r="G51">
        <v>2</v>
      </c>
      <c r="H51">
        <v>2E+20</v>
      </c>
      <c r="I51">
        <v>2</v>
      </c>
      <c r="J51">
        <v>2</v>
      </c>
      <c r="K51">
        <v>2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10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2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2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2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69</v>
      </c>
      <c r="C52">
        <v>4</v>
      </c>
      <c r="D52" t="s">
        <v>89</v>
      </c>
      <c r="E52" t="s">
        <v>85</v>
      </c>
      <c r="F52" t="s">
        <v>86</v>
      </c>
      <c r="G52">
        <v>0.80401750740523303</v>
      </c>
      <c r="H52">
        <v>9.5139072099963695E-3</v>
      </c>
      <c r="I52">
        <v>0</v>
      </c>
      <c r="J52">
        <v>1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10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0.79210128641287902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0.80913537591663398</v>
      </c>
      <c r="U52" s="5">
        <f>IF((ContinuousStatsTable[[#This Row],[RepsRequested]]&gt;1),ContinuousStatsTable[[#This Row],[HalfWidth]],ContinuousStatsTable[[#This Row],[BatchMeansHalfWidth]])</f>
        <v>3.6008298302422069E-3</v>
      </c>
    </row>
    <row r="53" spans="1:21" x14ac:dyDescent="0.35">
      <c r="A53" t="s">
        <v>66</v>
      </c>
      <c r="B53" t="s">
        <v>69</v>
      </c>
      <c r="C53">
        <v>4</v>
      </c>
      <c r="D53" t="s">
        <v>89</v>
      </c>
      <c r="E53" t="s">
        <v>87</v>
      </c>
      <c r="F53" t="s">
        <v>86</v>
      </c>
      <c r="G53">
        <v>0.80401750740523303</v>
      </c>
      <c r="H53">
        <v>9.5139072099963695E-3</v>
      </c>
      <c r="I53">
        <v>0</v>
      </c>
      <c r="J53">
        <v>1</v>
      </c>
      <c r="K53">
        <v>1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10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0.79210128641287902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0.80913537591663398</v>
      </c>
      <c r="U53" s="5">
        <f>IF((ContinuousStatsTable[[#This Row],[RepsRequested]]&gt;1),ContinuousStatsTable[[#This Row],[HalfWidth]],ContinuousStatsTable[[#This Row],[BatchMeansHalfWidth]])</f>
        <v>3.6008298302422069E-3</v>
      </c>
    </row>
    <row r="54" spans="1:21" x14ac:dyDescent="0.35">
      <c r="A54" t="s">
        <v>66</v>
      </c>
      <c r="B54" t="s">
        <v>69</v>
      </c>
      <c r="C54">
        <v>4</v>
      </c>
      <c r="D54" t="s">
        <v>89</v>
      </c>
      <c r="E54" t="s">
        <v>88</v>
      </c>
      <c r="F54" t="s">
        <v>86</v>
      </c>
      <c r="G54">
        <v>1</v>
      </c>
      <c r="H54">
        <v>2E+20</v>
      </c>
      <c r="I54">
        <v>1</v>
      </c>
      <c r="J54">
        <v>1</v>
      </c>
      <c r="K54">
        <v>1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10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1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1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 s="5">
        <f>IF((ContinuousStatsTable[[#This Row],[RepsRequested]]&gt;1),ContinuousStatsTable[[#This Row],[HalfWidth]],ContinuousStatsTable[[#This Row],[BatchMeansHalfWidth]])</f>
        <v>0</v>
      </c>
    </row>
    <row r="55" spans="1:21" x14ac:dyDescent="0.35">
      <c r="A55" t="s">
        <v>66</v>
      </c>
      <c r="B55" t="s">
        <v>69</v>
      </c>
      <c r="C55">
        <v>4</v>
      </c>
      <c r="D55" t="s">
        <v>90</v>
      </c>
      <c r="E55" t="s">
        <v>85</v>
      </c>
      <c r="F55" t="s">
        <v>86</v>
      </c>
      <c r="G55">
        <v>0.83250004294119695</v>
      </c>
      <c r="H55">
        <v>9.1128138089070099E-3</v>
      </c>
      <c r="I55">
        <v>0</v>
      </c>
      <c r="J55">
        <v>1</v>
      </c>
      <c r="K55">
        <v>1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10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0.82778443412963498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0.835591266164598</v>
      </c>
      <c r="U55" s="5">
        <f>IF((ContinuousStatsTable[[#This Row],[RepsRequested]]&gt;1),ContinuousStatsTable[[#This Row],[HalfWidth]],ContinuousStatsTable[[#This Row],[BatchMeansHalfWidth]])</f>
        <v>1.9629860688117127E-3</v>
      </c>
    </row>
    <row r="56" spans="1:21" x14ac:dyDescent="0.35">
      <c r="A56" t="s">
        <v>66</v>
      </c>
      <c r="B56" t="s">
        <v>69</v>
      </c>
      <c r="C56">
        <v>4</v>
      </c>
      <c r="D56" t="s">
        <v>90</v>
      </c>
      <c r="E56" t="s">
        <v>87</v>
      </c>
      <c r="F56" t="s">
        <v>86</v>
      </c>
      <c r="G56">
        <v>0.83250004294119695</v>
      </c>
      <c r="H56">
        <v>9.1128138089070099E-3</v>
      </c>
      <c r="I56">
        <v>0</v>
      </c>
      <c r="J56">
        <v>1</v>
      </c>
      <c r="K56">
        <v>1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10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0.82778443412963498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0.835591266164598</v>
      </c>
      <c r="U56" s="5">
        <f>IF((ContinuousStatsTable[[#This Row],[RepsRequested]]&gt;1),ContinuousStatsTable[[#This Row],[HalfWidth]],ContinuousStatsTable[[#This Row],[BatchMeansHalfWidth]])</f>
        <v>1.9629860688117127E-3</v>
      </c>
    </row>
    <row r="57" spans="1:21" x14ac:dyDescent="0.35">
      <c r="A57" t="s">
        <v>66</v>
      </c>
      <c r="B57" t="s">
        <v>69</v>
      </c>
      <c r="C57">
        <v>4</v>
      </c>
      <c r="D57" t="s">
        <v>90</v>
      </c>
      <c r="E57" t="s">
        <v>88</v>
      </c>
      <c r="F57" t="s">
        <v>86</v>
      </c>
      <c r="G57">
        <v>1</v>
      </c>
      <c r="H57">
        <v>2E+20</v>
      </c>
      <c r="I57">
        <v>1</v>
      </c>
      <c r="J57">
        <v>1</v>
      </c>
      <c r="K57">
        <v>1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10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1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1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1</v>
      </c>
      <c r="U57" s="5">
        <f>IF((ContinuousStatsTable[[#This Row],[RepsRequested]]&gt;1),ContinuousStatsTable[[#This Row],[HalfWidth]],ContinuousStatsTable[[#This Row],[BatchMeansHalfWidth]])</f>
        <v>0</v>
      </c>
    </row>
    <row r="58" spans="1:21" x14ac:dyDescent="0.35">
      <c r="A58" t="s">
        <v>66</v>
      </c>
      <c r="B58" t="s">
        <v>69</v>
      </c>
      <c r="C58">
        <v>4</v>
      </c>
      <c r="D58" t="s">
        <v>91</v>
      </c>
      <c r="E58" t="s">
        <v>85</v>
      </c>
      <c r="F58" t="s">
        <v>86</v>
      </c>
      <c r="G58">
        <v>0.82907913713772696</v>
      </c>
      <c r="H58">
        <v>1.05654549379467E-2</v>
      </c>
      <c r="I58">
        <v>0</v>
      </c>
      <c r="J58">
        <v>1</v>
      </c>
      <c r="K58">
        <v>1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10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0.82692860079846797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0.83908808891262199</v>
      </c>
      <c r="U58" s="5">
        <f>IF((ContinuousStatsTable[[#This Row],[RepsRequested]]&gt;1),ContinuousStatsTable[[#This Row],[HalfWidth]],ContinuousStatsTable[[#This Row],[BatchMeansHalfWidth]])</f>
        <v>2.9431012365895297E-3</v>
      </c>
    </row>
    <row r="59" spans="1:21" x14ac:dyDescent="0.35">
      <c r="A59" t="s">
        <v>66</v>
      </c>
      <c r="B59" t="s">
        <v>69</v>
      </c>
      <c r="C59">
        <v>4</v>
      </c>
      <c r="D59" t="s">
        <v>91</v>
      </c>
      <c r="E59" t="s">
        <v>87</v>
      </c>
      <c r="F59" t="s">
        <v>86</v>
      </c>
      <c r="G59">
        <v>0.82907913713772696</v>
      </c>
      <c r="H59">
        <v>1.05654549379467E-2</v>
      </c>
      <c r="I59">
        <v>0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10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0.82692860079846797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0.83908808891262199</v>
      </c>
      <c r="U59" s="5">
        <f>IF((ContinuousStatsTable[[#This Row],[RepsRequested]]&gt;1),ContinuousStatsTable[[#This Row],[HalfWidth]],ContinuousStatsTable[[#This Row],[BatchMeansHalfWidth]])</f>
        <v>2.9431012365895297E-3</v>
      </c>
    </row>
    <row r="60" spans="1:21" x14ac:dyDescent="0.35">
      <c r="A60" t="s">
        <v>66</v>
      </c>
      <c r="B60" t="s">
        <v>69</v>
      </c>
      <c r="C60">
        <v>4</v>
      </c>
      <c r="D60" t="s">
        <v>91</v>
      </c>
      <c r="E60" t="s">
        <v>88</v>
      </c>
      <c r="F60" t="s">
        <v>86</v>
      </c>
      <c r="G60">
        <v>1</v>
      </c>
      <c r="H60">
        <v>2E+20</v>
      </c>
      <c r="I60">
        <v>1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10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1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1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 s="5">
        <f>IF((ContinuousStatsTable[[#This Row],[RepsRequested]]&gt;1),ContinuousStatsTable[[#This Row],[HalfWidth]],ContinuousStatsTable[[#This Row],[BatchMeansHalfWidth]])</f>
        <v>0</v>
      </c>
    </row>
    <row r="61" spans="1:21" x14ac:dyDescent="0.35">
      <c r="A61" t="s">
        <v>66</v>
      </c>
      <c r="B61" t="s">
        <v>69</v>
      </c>
      <c r="C61">
        <v>4</v>
      </c>
      <c r="D61" t="s">
        <v>81</v>
      </c>
      <c r="E61" t="s">
        <v>83</v>
      </c>
      <c r="F61" t="s">
        <v>80</v>
      </c>
      <c r="G61">
        <v>0.100863711789314</v>
      </c>
      <c r="H61">
        <v>2E+20</v>
      </c>
      <c r="I61">
        <v>0</v>
      </c>
      <c r="J61">
        <v>2</v>
      </c>
      <c r="K61">
        <v>0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10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8.7958425850064206E-2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0.11156380554871401</v>
      </c>
      <c r="U61" s="5">
        <f>IF((ContinuousStatsTable[[#This Row],[RepsRequested]]&gt;1),ContinuousStatsTable[[#This Row],[HalfWidth]],ContinuousStatsTable[[#This Row],[BatchMeansHalfWidth]])</f>
        <v>4.9904349466243737E-3</v>
      </c>
    </row>
    <row r="62" spans="1:21" x14ac:dyDescent="0.35">
      <c r="A62" t="s">
        <v>66</v>
      </c>
      <c r="B62" t="s">
        <v>69</v>
      </c>
      <c r="C62">
        <v>5</v>
      </c>
      <c r="D62" t="s">
        <v>70</v>
      </c>
      <c r="E62" t="s">
        <v>82</v>
      </c>
      <c r="F62" t="s">
        <v>72</v>
      </c>
      <c r="G62">
        <v>4.7851917460602902</v>
      </c>
      <c r="H62">
        <v>3E+20</v>
      </c>
      <c r="I62">
        <v>0</v>
      </c>
      <c r="J62">
        <v>9</v>
      </c>
      <c r="K62">
        <v>4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10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4.7851917460602902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4.8974164543117702</v>
      </c>
      <c r="U62" s="5">
        <f>IF((ContinuousStatsTable[[#This Row],[RepsRequested]]&gt;1),ContinuousStatsTable[[#This Row],[HalfWidth]],ContinuousStatsTable[[#This Row],[BatchMeansHalfWidth]])</f>
        <v>2.7014915395151946E-2</v>
      </c>
    </row>
    <row r="63" spans="1:21" x14ac:dyDescent="0.35">
      <c r="A63" t="s">
        <v>66</v>
      </c>
      <c r="B63" t="s">
        <v>69</v>
      </c>
      <c r="C63">
        <v>5</v>
      </c>
      <c r="D63" t="s">
        <v>78</v>
      </c>
      <c r="E63" t="s">
        <v>83</v>
      </c>
      <c r="F63" t="s">
        <v>80</v>
      </c>
      <c r="G63">
        <v>2.0772672364191499E-2</v>
      </c>
      <c r="H63">
        <v>3E+20</v>
      </c>
      <c r="I63">
        <v>0</v>
      </c>
      <c r="J63">
        <v>2</v>
      </c>
      <c r="K63">
        <v>0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10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2.0225700754551199E-2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3.8204494131751601E-2</v>
      </c>
      <c r="U63" s="5">
        <f>IF((ContinuousStatsTable[[#This Row],[RepsRequested]]&gt;1),ContinuousStatsTable[[#This Row],[HalfWidth]],ContinuousStatsTable[[#This Row],[BatchMeansHalfWidth]])</f>
        <v>4.7121468395371572E-3</v>
      </c>
    </row>
    <row r="64" spans="1:21" x14ac:dyDescent="0.35">
      <c r="A64" t="s">
        <v>66</v>
      </c>
      <c r="B64" t="s">
        <v>69</v>
      </c>
      <c r="C64">
        <v>5</v>
      </c>
      <c r="D64" t="s">
        <v>84</v>
      </c>
      <c r="E64" t="s">
        <v>85</v>
      </c>
      <c r="F64" t="s">
        <v>86</v>
      </c>
      <c r="G64">
        <v>0.59529994453747503</v>
      </c>
      <c r="H64">
        <v>2.2569789928611399E-2</v>
      </c>
      <c r="I64">
        <v>0</v>
      </c>
      <c r="J64">
        <v>1</v>
      </c>
      <c r="K64">
        <v>0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10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0.58095472748131705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0.60761888382065699</v>
      </c>
      <c r="U64" s="5">
        <f>IF((ContinuousStatsTable[[#This Row],[RepsRequested]]&gt;1),ContinuousStatsTable[[#This Row],[HalfWidth]],ContinuousStatsTable[[#This Row],[BatchMeansHalfWidth]])</f>
        <v>5.8189077528776768E-3</v>
      </c>
    </row>
    <row r="65" spans="1:21" x14ac:dyDescent="0.35">
      <c r="A65" t="s">
        <v>66</v>
      </c>
      <c r="B65" t="s">
        <v>69</v>
      </c>
      <c r="C65">
        <v>5</v>
      </c>
      <c r="D65" t="s">
        <v>84</v>
      </c>
      <c r="E65" t="s">
        <v>87</v>
      </c>
      <c r="F65" t="s">
        <v>86</v>
      </c>
      <c r="G65">
        <v>1.1905998890749501</v>
      </c>
      <c r="H65">
        <v>4.5139579857222799E-2</v>
      </c>
      <c r="I65">
        <v>0</v>
      </c>
      <c r="J65">
        <v>2</v>
      </c>
      <c r="K65">
        <v>0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10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1.1619094549626301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1.21523776764131</v>
      </c>
      <c r="U65" s="5">
        <f>IF((ContinuousStatsTable[[#This Row],[RepsRequested]]&gt;1),ContinuousStatsTable[[#This Row],[HalfWidth]],ContinuousStatsTable[[#This Row],[BatchMeansHalfWidth]])</f>
        <v>1.1637815505755052E-2</v>
      </c>
    </row>
    <row r="66" spans="1:21" x14ac:dyDescent="0.35">
      <c r="A66" t="s">
        <v>66</v>
      </c>
      <c r="B66" t="s">
        <v>69</v>
      </c>
      <c r="C66">
        <v>5</v>
      </c>
      <c r="D66" t="s">
        <v>84</v>
      </c>
      <c r="E66" t="s">
        <v>88</v>
      </c>
      <c r="F66" t="s">
        <v>86</v>
      </c>
      <c r="G66">
        <v>2</v>
      </c>
      <c r="H66">
        <v>2E+20</v>
      </c>
      <c r="I66">
        <v>2</v>
      </c>
      <c r="J66">
        <v>2</v>
      </c>
      <c r="K66">
        <v>2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10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2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2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2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69</v>
      </c>
      <c r="C67">
        <v>5</v>
      </c>
      <c r="D67" t="s">
        <v>89</v>
      </c>
      <c r="E67" t="s">
        <v>85</v>
      </c>
      <c r="F67" t="s">
        <v>86</v>
      </c>
      <c r="G67">
        <v>0.79210128641287902</v>
      </c>
      <c r="H67">
        <v>3E+20</v>
      </c>
      <c r="I67">
        <v>0</v>
      </c>
      <c r="J67">
        <v>1</v>
      </c>
      <c r="K67">
        <v>1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10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0.79210128641287902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0.80913537591663398</v>
      </c>
      <c r="U67" s="5">
        <f>IF((ContinuousStatsTable[[#This Row],[RepsRequested]]&gt;1),ContinuousStatsTable[[#This Row],[HalfWidth]],ContinuousStatsTable[[#This Row],[BatchMeansHalfWidth]])</f>
        <v>3.6008298302422069E-3</v>
      </c>
    </row>
    <row r="68" spans="1:21" x14ac:dyDescent="0.35">
      <c r="A68" t="s">
        <v>66</v>
      </c>
      <c r="B68" t="s">
        <v>69</v>
      </c>
      <c r="C68">
        <v>5</v>
      </c>
      <c r="D68" t="s">
        <v>89</v>
      </c>
      <c r="E68" t="s">
        <v>87</v>
      </c>
      <c r="F68" t="s">
        <v>86</v>
      </c>
      <c r="G68">
        <v>0.79210128641287902</v>
      </c>
      <c r="H68">
        <v>3E+20</v>
      </c>
      <c r="I68">
        <v>0</v>
      </c>
      <c r="J68">
        <v>1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10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0.79210128641287902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0.80913537591663398</v>
      </c>
      <c r="U68" s="5">
        <f>IF((ContinuousStatsTable[[#This Row],[RepsRequested]]&gt;1),ContinuousStatsTable[[#This Row],[HalfWidth]],ContinuousStatsTable[[#This Row],[BatchMeansHalfWidth]])</f>
        <v>3.6008298302422069E-3</v>
      </c>
    </row>
    <row r="69" spans="1:21" x14ac:dyDescent="0.35">
      <c r="A69" t="s">
        <v>66</v>
      </c>
      <c r="B69" t="s">
        <v>69</v>
      </c>
      <c r="C69">
        <v>5</v>
      </c>
      <c r="D69" t="s">
        <v>89</v>
      </c>
      <c r="E69" t="s">
        <v>88</v>
      </c>
      <c r="F69" t="s">
        <v>86</v>
      </c>
      <c r="G69">
        <v>1</v>
      </c>
      <c r="H69">
        <v>2E+20</v>
      </c>
      <c r="I69">
        <v>1</v>
      </c>
      <c r="J69">
        <v>1</v>
      </c>
      <c r="K69">
        <v>1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10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1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1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</v>
      </c>
      <c r="U69" s="5">
        <f>IF((ContinuousStatsTable[[#This Row],[RepsRequested]]&gt;1),ContinuousStatsTable[[#This Row],[HalfWidth]],ContinuousStatsTable[[#This Row],[BatchMeansHalfWidth]])</f>
        <v>0</v>
      </c>
    </row>
    <row r="70" spans="1:21" x14ac:dyDescent="0.35">
      <c r="A70" t="s">
        <v>66</v>
      </c>
      <c r="B70" t="s">
        <v>69</v>
      </c>
      <c r="C70">
        <v>5</v>
      </c>
      <c r="D70" t="s">
        <v>90</v>
      </c>
      <c r="E70" t="s">
        <v>85</v>
      </c>
      <c r="F70" t="s">
        <v>86</v>
      </c>
      <c r="G70">
        <v>0.82778443412963498</v>
      </c>
      <c r="H70">
        <v>3E+20</v>
      </c>
      <c r="I70">
        <v>0</v>
      </c>
      <c r="J70">
        <v>1</v>
      </c>
      <c r="K70">
        <v>1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10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0.82778443412963498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0.835591266164598</v>
      </c>
      <c r="U70" s="5">
        <f>IF((ContinuousStatsTable[[#This Row],[RepsRequested]]&gt;1),ContinuousStatsTable[[#This Row],[HalfWidth]],ContinuousStatsTable[[#This Row],[BatchMeansHalfWidth]])</f>
        <v>1.9629860688117127E-3</v>
      </c>
    </row>
    <row r="71" spans="1:21" x14ac:dyDescent="0.35">
      <c r="A71" t="s">
        <v>66</v>
      </c>
      <c r="B71" t="s">
        <v>69</v>
      </c>
      <c r="C71">
        <v>5</v>
      </c>
      <c r="D71" t="s">
        <v>90</v>
      </c>
      <c r="E71" t="s">
        <v>87</v>
      </c>
      <c r="F71" t="s">
        <v>86</v>
      </c>
      <c r="G71">
        <v>0.82778443412963498</v>
      </c>
      <c r="H71">
        <v>3E+20</v>
      </c>
      <c r="I71">
        <v>0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10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0.82778443412963498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0.835591266164598</v>
      </c>
      <c r="U71" s="5">
        <f>IF((ContinuousStatsTable[[#This Row],[RepsRequested]]&gt;1),ContinuousStatsTable[[#This Row],[HalfWidth]],ContinuousStatsTable[[#This Row],[BatchMeansHalfWidth]])</f>
        <v>1.9629860688117127E-3</v>
      </c>
    </row>
    <row r="72" spans="1:21" x14ac:dyDescent="0.35">
      <c r="A72" t="s">
        <v>66</v>
      </c>
      <c r="B72" t="s">
        <v>69</v>
      </c>
      <c r="C72">
        <v>5</v>
      </c>
      <c r="D72" t="s">
        <v>90</v>
      </c>
      <c r="E72" t="s">
        <v>88</v>
      </c>
      <c r="F72" t="s">
        <v>86</v>
      </c>
      <c r="G72">
        <v>1</v>
      </c>
      <c r="H72">
        <v>2E+20</v>
      </c>
      <c r="I72">
        <v>1</v>
      </c>
      <c r="J72">
        <v>1</v>
      </c>
      <c r="K72">
        <v>1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10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1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1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1</v>
      </c>
      <c r="U72" s="5">
        <f>IF((ContinuousStatsTable[[#This Row],[RepsRequested]]&gt;1),ContinuousStatsTable[[#This Row],[HalfWidth]],ContinuousStatsTable[[#This Row],[BatchMeansHalfWidth]])</f>
        <v>0</v>
      </c>
    </row>
    <row r="73" spans="1:21" x14ac:dyDescent="0.35">
      <c r="A73" t="s">
        <v>66</v>
      </c>
      <c r="B73" t="s">
        <v>69</v>
      </c>
      <c r="C73">
        <v>5</v>
      </c>
      <c r="D73" t="s">
        <v>91</v>
      </c>
      <c r="E73" t="s">
        <v>85</v>
      </c>
      <c r="F73" t="s">
        <v>86</v>
      </c>
      <c r="G73">
        <v>0.82868351310514399</v>
      </c>
      <c r="H73">
        <v>8.1982325104403096E-3</v>
      </c>
      <c r="I73">
        <v>0</v>
      </c>
      <c r="J73">
        <v>1</v>
      </c>
      <c r="K73">
        <v>1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10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0.82692860079846797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0.83908808891262199</v>
      </c>
      <c r="U73" s="5">
        <f>IF((ContinuousStatsTable[[#This Row],[RepsRequested]]&gt;1),ContinuousStatsTable[[#This Row],[HalfWidth]],ContinuousStatsTable[[#This Row],[BatchMeansHalfWidth]])</f>
        <v>2.9431012365895297E-3</v>
      </c>
    </row>
    <row r="74" spans="1:21" x14ac:dyDescent="0.35">
      <c r="A74" t="s">
        <v>66</v>
      </c>
      <c r="B74" t="s">
        <v>69</v>
      </c>
      <c r="C74">
        <v>5</v>
      </c>
      <c r="D74" t="s">
        <v>91</v>
      </c>
      <c r="E74" t="s">
        <v>87</v>
      </c>
      <c r="F74" t="s">
        <v>86</v>
      </c>
      <c r="G74">
        <v>0.82868351310514399</v>
      </c>
      <c r="H74">
        <v>8.1982325104403096E-3</v>
      </c>
      <c r="I74">
        <v>0</v>
      </c>
      <c r="J74">
        <v>1</v>
      </c>
      <c r="K74">
        <v>1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10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0.82692860079846797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0.83908808891262199</v>
      </c>
      <c r="U74" s="5">
        <f>IF((ContinuousStatsTable[[#This Row],[RepsRequested]]&gt;1),ContinuousStatsTable[[#This Row],[HalfWidth]],ContinuousStatsTable[[#This Row],[BatchMeansHalfWidth]])</f>
        <v>2.9431012365895297E-3</v>
      </c>
    </row>
    <row r="75" spans="1:21" x14ac:dyDescent="0.35">
      <c r="A75" t="s">
        <v>66</v>
      </c>
      <c r="B75" t="s">
        <v>69</v>
      </c>
      <c r="C75">
        <v>5</v>
      </c>
      <c r="D75" t="s">
        <v>91</v>
      </c>
      <c r="E75" t="s">
        <v>88</v>
      </c>
      <c r="F75" t="s">
        <v>86</v>
      </c>
      <c r="G75">
        <v>1</v>
      </c>
      <c r="H75">
        <v>2E+20</v>
      </c>
      <c r="I75">
        <v>1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10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1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1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 s="5">
        <f>IF((ContinuousStatsTable[[#This Row],[RepsRequested]]&gt;1),ContinuousStatsTable[[#This Row],[HalfWidth]],ContinuousStatsTable[[#This Row],[BatchMeansHalfWidth]])</f>
        <v>0</v>
      </c>
    </row>
    <row r="76" spans="1:21" x14ac:dyDescent="0.35">
      <c r="A76" t="s">
        <v>66</v>
      </c>
      <c r="B76" t="s">
        <v>69</v>
      </c>
      <c r="C76">
        <v>5</v>
      </c>
      <c r="D76" t="s">
        <v>81</v>
      </c>
      <c r="E76" t="s">
        <v>83</v>
      </c>
      <c r="F76" t="s">
        <v>80</v>
      </c>
      <c r="G76">
        <v>8.7958425850064206E-2</v>
      </c>
      <c r="H76">
        <v>2E+20</v>
      </c>
      <c r="I76">
        <v>0</v>
      </c>
      <c r="J76">
        <v>2</v>
      </c>
      <c r="K76">
        <v>0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10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8.7958425850064206E-2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0.11156380554871401</v>
      </c>
      <c r="U76" s="5">
        <f>IF((ContinuousStatsTable[[#This Row],[RepsRequested]]&gt;1),ContinuousStatsTable[[#This Row],[HalfWidth]],ContinuousStatsTable[[#This Row],[BatchMeansHalfWidth]])</f>
        <v>4.9904349466243737E-3</v>
      </c>
    </row>
    <row r="77" spans="1:21" x14ac:dyDescent="0.35">
      <c r="A77" t="s">
        <v>66</v>
      </c>
      <c r="B77" t="s">
        <v>69</v>
      </c>
      <c r="C77">
        <v>6</v>
      </c>
      <c r="D77" t="s">
        <v>70</v>
      </c>
      <c r="E77" t="s">
        <v>82</v>
      </c>
      <c r="F77" t="s">
        <v>72</v>
      </c>
      <c r="G77">
        <v>4.8754061475327699</v>
      </c>
      <c r="H77">
        <v>8.66219878566582E-2</v>
      </c>
      <c r="I77">
        <v>0</v>
      </c>
      <c r="J77">
        <v>9</v>
      </c>
      <c r="K77">
        <v>5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10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4.7851917460602902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4.8974164543117702</v>
      </c>
      <c r="U77" s="5">
        <f>IF((ContinuousStatsTable[[#This Row],[RepsRequested]]&gt;1),ContinuousStatsTable[[#This Row],[HalfWidth]],ContinuousStatsTable[[#This Row],[BatchMeansHalfWidth]])</f>
        <v>2.7014915395151946E-2</v>
      </c>
    </row>
    <row r="78" spans="1:21" x14ac:dyDescent="0.35">
      <c r="A78" t="s">
        <v>66</v>
      </c>
      <c r="B78" t="s">
        <v>69</v>
      </c>
      <c r="C78">
        <v>6</v>
      </c>
      <c r="D78" t="s">
        <v>78</v>
      </c>
      <c r="E78" t="s">
        <v>83</v>
      </c>
      <c r="F78" t="s">
        <v>80</v>
      </c>
      <c r="G78">
        <v>3.19829092735716E-2</v>
      </c>
      <c r="H78">
        <v>1.0325109054336101E-2</v>
      </c>
      <c r="I78">
        <v>0</v>
      </c>
      <c r="J78">
        <v>3</v>
      </c>
      <c r="K78">
        <v>0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10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2.0225700754551199E-2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3.8204494131751601E-2</v>
      </c>
      <c r="U78" s="5">
        <f>IF((ContinuousStatsTable[[#This Row],[RepsRequested]]&gt;1),ContinuousStatsTable[[#This Row],[HalfWidth]],ContinuousStatsTable[[#This Row],[BatchMeansHalfWidth]])</f>
        <v>4.7121468395371572E-3</v>
      </c>
    </row>
    <row r="79" spans="1:21" x14ac:dyDescent="0.35">
      <c r="A79" t="s">
        <v>66</v>
      </c>
      <c r="B79" t="s">
        <v>69</v>
      </c>
      <c r="C79">
        <v>6</v>
      </c>
      <c r="D79" t="s">
        <v>84</v>
      </c>
      <c r="E79" t="s">
        <v>85</v>
      </c>
      <c r="F79" t="s">
        <v>86</v>
      </c>
      <c r="G79">
        <v>0.60760355435819602</v>
      </c>
      <c r="H79">
        <v>1.91351080641383E-2</v>
      </c>
      <c r="I79">
        <v>0</v>
      </c>
      <c r="J79">
        <v>1</v>
      </c>
      <c r="K79">
        <v>0.5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10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0.58095472748131705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0.60761888382065699</v>
      </c>
      <c r="U79" s="5">
        <f>IF((ContinuousStatsTable[[#This Row],[RepsRequested]]&gt;1),ContinuousStatsTable[[#This Row],[HalfWidth]],ContinuousStatsTable[[#This Row],[BatchMeansHalfWidth]])</f>
        <v>5.8189077528776768E-3</v>
      </c>
    </row>
    <row r="80" spans="1:21" x14ac:dyDescent="0.35">
      <c r="A80" t="s">
        <v>66</v>
      </c>
      <c r="B80" t="s">
        <v>69</v>
      </c>
      <c r="C80">
        <v>6</v>
      </c>
      <c r="D80" t="s">
        <v>84</v>
      </c>
      <c r="E80" t="s">
        <v>87</v>
      </c>
      <c r="F80" t="s">
        <v>86</v>
      </c>
      <c r="G80">
        <v>1.21520710871639</v>
      </c>
      <c r="H80">
        <v>3.82702161282766E-2</v>
      </c>
      <c r="I80">
        <v>0</v>
      </c>
      <c r="J80">
        <v>2</v>
      </c>
      <c r="K80">
        <v>1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10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1.1619094549626301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1.21523776764131</v>
      </c>
      <c r="U80" s="5">
        <f>IF((ContinuousStatsTable[[#This Row],[RepsRequested]]&gt;1),ContinuousStatsTable[[#This Row],[HalfWidth]],ContinuousStatsTable[[#This Row],[BatchMeansHalfWidth]])</f>
        <v>1.1637815505755052E-2</v>
      </c>
    </row>
    <row r="81" spans="1:21" x14ac:dyDescent="0.35">
      <c r="A81" t="s">
        <v>66</v>
      </c>
      <c r="B81" t="s">
        <v>69</v>
      </c>
      <c r="C81">
        <v>6</v>
      </c>
      <c r="D81" t="s">
        <v>84</v>
      </c>
      <c r="E81" t="s">
        <v>88</v>
      </c>
      <c r="F81" t="s">
        <v>86</v>
      </c>
      <c r="G81">
        <v>2</v>
      </c>
      <c r="H81">
        <v>2E+20</v>
      </c>
      <c r="I81">
        <v>2</v>
      </c>
      <c r="J81">
        <v>2</v>
      </c>
      <c r="K81">
        <v>2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10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2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2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2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35">
      <c r="A82" t="s">
        <v>66</v>
      </c>
      <c r="B82" t="s">
        <v>69</v>
      </c>
      <c r="C82">
        <v>6</v>
      </c>
      <c r="D82" t="s">
        <v>89</v>
      </c>
      <c r="E82" t="s">
        <v>85</v>
      </c>
      <c r="F82" t="s">
        <v>86</v>
      </c>
      <c r="G82">
        <v>0.80413625976071701</v>
      </c>
      <c r="H82">
        <v>9.8153857902097998E-3</v>
      </c>
      <c r="I82">
        <v>0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10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0.79210128641287902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0.80913537591663398</v>
      </c>
      <c r="U82" s="5">
        <f>IF((ContinuousStatsTable[[#This Row],[RepsRequested]]&gt;1),ContinuousStatsTable[[#This Row],[HalfWidth]],ContinuousStatsTable[[#This Row],[BatchMeansHalfWidth]])</f>
        <v>3.6008298302422069E-3</v>
      </c>
    </row>
    <row r="83" spans="1:21" x14ac:dyDescent="0.35">
      <c r="A83" t="s">
        <v>66</v>
      </c>
      <c r="B83" t="s">
        <v>69</v>
      </c>
      <c r="C83">
        <v>6</v>
      </c>
      <c r="D83" t="s">
        <v>89</v>
      </c>
      <c r="E83" t="s">
        <v>87</v>
      </c>
      <c r="F83" t="s">
        <v>86</v>
      </c>
      <c r="G83">
        <v>0.80413625976071701</v>
      </c>
      <c r="H83">
        <v>9.8153857902097998E-3</v>
      </c>
      <c r="I83">
        <v>0</v>
      </c>
      <c r="J83">
        <v>1</v>
      </c>
      <c r="K83">
        <v>1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10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0.79210128641287902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0.80913537591663398</v>
      </c>
      <c r="U83" s="5">
        <f>IF((ContinuousStatsTable[[#This Row],[RepsRequested]]&gt;1),ContinuousStatsTable[[#This Row],[HalfWidth]],ContinuousStatsTable[[#This Row],[BatchMeansHalfWidth]])</f>
        <v>3.6008298302422069E-3</v>
      </c>
    </row>
    <row r="84" spans="1:21" x14ac:dyDescent="0.35">
      <c r="A84" t="s">
        <v>66</v>
      </c>
      <c r="B84" t="s">
        <v>69</v>
      </c>
      <c r="C84">
        <v>6</v>
      </c>
      <c r="D84" t="s">
        <v>89</v>
      </c>
      <c r="E84" t="s">
        <v>88</v>
      </c>
      <c r="F84" t="s">
        <v>86</v>
      </c>
      <c r="G84">
        <v>1</v>
      </c>
      <c r="H84">
        <v>2E+20</v>
      </c>
      <c r="I84">
        <v>1</v>
      </c>
      <c r="J84">
        <v>1</v>
      </c>
      <c r="K84">
        <v>1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10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1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1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 s="5">
        <f>IF((ContinuousStatsTable[[#This Row],[RepsRequested]]&gt;1),ContinuousStatsTable[[#This Row],[HalfWidth]],ContinuousStatsTable[[#This Row],[BatchMeansHalfWidth]])</f>
        <v>0</v>
      </c>
    </row>
    <row r="85" spans="1:21" x14ac:dyDescent="0.35">
      <c r="A85" t="s">
        <v>66</v>
      </c>
      <c r="B85" t="s">
        <v>69</v>
      </c>
      <c r="C85">
        <v>6</v>
      </c>
      <c r="D85" t="s">
        <v>90</v>
      </c>
      <c r="E85" t="s">
        <v>85</v>
      </c>
      <c r="F85" t="s">
        <v>86</v>
      </c>
      <c r="G85">
        <v>0.83556962527759304</v>
      </c>
      <c r="H85">
        <v>7.5367996842534701E-3</v>
      </c>
      <c r="I85">
        <v>0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10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0.82778443412963498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0.835591266164598</v>
      </c>
      <c r="U85" s="5">
        <f>IF((ContinuousStatsTable[[#This Row],[RepsRequested]]&gt;1),ContinuousStatsTable[[#This Row],[HalfWidth]],ContinuousStatsTable[[#This Row],[BatchMeansHalfWidth]])</f>
        <v>1.9629860688117127E-3</v>
      </c>
    </row>
    <row r="86" spans="1:21" x14ac:dyDescent="0.35">
      <c r="A86" t="s">
        <v>66</v>
      </c>
      <c r="B86" t="s">
        <v>69</v>
      </c>
      <c r="C86">
        <v>6</v>
      </c>
      <c r="D86" t="s">
        <v>90</v>
      </c>
      <c r="E86" t="s">
        <v>87</v>
      </c>
      <c r="F86" t="s">
        <v>86</v>
      </c>
      <c r="G86">
        <v>0.83556962527759304</v>
      </c>
      <c r="H86">
        <v>7.5367996842534701E-3</v>
      </c>
      <c r="I86">
        <v>0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10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0.82778443412963498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0.835591266164598</v>
      </c>
      <c r="U86" s="5">
        <f>IF((ContinuousStatsTable[[#This Row],[RepsRequested]]&gt;1),ContinuousStatsTable[[#This Row],[HalfWidth]],ContinuousStatsTable[[#This Row],[BatchMeansHalfWidth]])</f>
        <v>1.9629860688117127E-3</v>
      </c>
    </row>
    <row r="87" spans="1:21" x14ac:dyDescent="0.35">
      <c r="A87" t="s">
        <v>66</v>
      </c>
      <c r="B87" t="s">
        <v>69</v>
      </c>
      <c r="C87">
        <v>6</v>
      </c>
      <c r="D87" t="s">
        <v>90</v>
      </c>
      <c r="E87" t="s">
        <v>88</v>
      </c>
      <c r="F87" t="s">
        <v>86</v>
      </c>
      <c r="G87">
        <v>1</v>
      </c>
      <c r="H87">
        <v>2E+20</v>
      </c>
      <c r="I87">
        <v>1</v>
      </c>
      <c r="J87">
        <v>1</v>
      </c>
      <c r="K87">
        <v>1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10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1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1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1</v>
      </c>
      <c r="U87" s="5">
        <f>IF((ContinuousStatsTable[[#This Row],[RepsRequested]]&gt;1),ContinuousStatsTable[[#This Row],[HalfWidth]],ContinuousStatsTable[[#This Row],[BatchMeansHalfWidth]])</f>
        <v>0</v>
      </c>
    </row>
    <row r="88" spans="1:21" x14ac:dyDescent="0.35">
      <c r="A88" t="s">
        <v>66</v>
      </c>
      <c r="B88" t="s">
        <v>69</v>
      </c>
      <c r="C88">
        <v>6</v>
      </c>
      <c r="D88" t="s">
        <v>91</v>
      </c>
      <c r="E88" t="s">
        <v>85</v>
      </c>
      <c r="F88" t="s">
        <v>86</v>
      </c>
      <c r="G88">
        <v>0.83348302779352801</v>
      </c>
      <c r="H88">
        <v>8.5878976367553608E-3</v>
      </c>
      <c r="I88">
        <v>0</v>
      </c>
      <c r="J88">
        <v>1</v>
      </c>
      <c r="K88">
        <v>1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10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0.82692860079846797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0.83908808891262199</v>
      </c>
      <c r="U88" s="5">
        <f>IF((ContinuousStatsTable[[#This Row],[RepsRequested]]&gt;1),ContinuousStatsTable[[#This Row],[HalfWidth]],ContinuousStatsTable[[#This Row],[BatchMeansHalfWidth]])</f>
        <v>2.9431012365895297E-3</v>
      </c>
    </row>
    <row r="89" spans="1:21" x14ac:dyDescent="0.35">
      <c r="A89" t="s">
        <v>66</v>
      </c>
      <c r="B89" t="s">
        <v>69</v>
      </c>
      <c r="C89">
        <v>6</v>
      </c>
      <c r="D89" t="s">
        <v>91</v>
      </c>
      <c r="E89" t="s">
        <v>87</v>
      </c>
      <c r="F89" t="s">
        <v>86</v>
      </c>
      <c r="G89">
        <v>0.83348302779352801</v>
      </c>
      <c r="H89">
        <v>8.5878976367553608E-3</v>
      </c>
      <c r="I89">
        <v>0</v>
      </c>
      <c r="J89">
        <v>1</v>
      </c>
      <c r="K89">
        <v>1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10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0.82692860079846797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0.83908808891262199</v>
      </c>
      <c r="U89" s="5">
        <f>IF((ContinuousStatsTable[[#This Row],[RepsRequested]]&gt;1),ContinuousStatsTable[[#This Row],[HalfWidth]],ContinuousStatsTable[[#This Row],[BatchMeansHalfWidth]])</f>
        <v>2.9431012365895297E-3</v>
      </c>
    </row>
    <row r="90" spans="1:21" x14ac:dyDescent="0.35">
      <c r="A90" t="s">
        <v>66</v>
      </c>
      <c r="B90" t="s">
        <v>69</v>
      </c>
      <c r="C90">
        <v>6</v>
      </c>
      <c r="D90" t="s">
        <v>91</v>
      </c>
      <c r="E90" t="s">
        <v>88</v>
      </c>
      <c r="F90" t="s">
        <v>86</v>
      </c>
      <c r="G90">
        <v>1</v>
      </c>
      <c r="H90">
        <v>2E+20</v>
      </c>
      <c r="I90">
        <v>1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10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1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1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 s="5">
        <f>IF((ContinuousStatsTable[[#This Row],[RepsRequested]]&gt;1),ContinuousStatsTable[[#This Row],[HalfWidth]],ContinuousStatsTable[[#This Row],[BatchMeansHalfWidth]])</f>
        <v>0</v>
      </c>
    </row>
    <row r="91" spans="1:21" x14ac:dyDescent="0.35">
      <c r="A91" t="s">
        <v>66</v>
      </c>
      <c r="B91" t="s">
        <v>69</v>
      </c>
      <c r="C91">
        <v>6</v>
      </c>
      <c r="D91" t="s">
        <v>81</v>
      </c>
      <c r="E91" t="s">
        <v>83</v>
      </c>
      <c r="F91" t="s">
        <v>80</v>
      </c>
      <c r="G91">
        <v>0.109635061964661</v>
      </c>
      <c r="H91">
        <v>2E+20</v>
      </c>
      <c r="I91">
        <v>0</v>
      </c>
      <c r="J91">
        <v>2</v>
      </c>
      <c r="K91">
        <v>0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10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8.7958425850064206E-2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0.11156380554871401</v>
      </c>
      <c r="U91" s="5">
        <f>IF((ContinuousStatsTable[[#This Row],[RepsRequested]]&gt;1),ContinuousStatsTable[[#This Row],[HalfWidth]],ContinuousStatsTable[[#This Row],[BatchMeansHalfWidth]])</f>
        <v>4.9904349466243737E-3</v>
      </c>
    </row>
    <row r="92" spans="1:21" x14ac:dyDescent="0.35">
      <c r="A92" t="s">
        <v>66</v>
      </c>
      <c r="B92" t="s">
        <v>69</v>
      </c>
      <c r="C92">
        <v>7</v>
      </c>
      <c r="D92" t="s">
        <v>70</v>
      </c>
      <c r="E92" t="s">
        <v>82</v>
      </c>
      <c r="F92" t="s">
        <v>72</v>
      </c>
      <c r="G92">
        <v>4.8974164543117702</v>
      </c>
      <c r="H92">
        <v>9.8454488160684805E-2</v>
      </c>
      <c r="I92">
        <v>0</v>
      </c>
      <c r="J92">
        <v>10</v>
      </c>
      <c r="K92">
        <v>5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10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4.7851917460602902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4.8974164543117702</v>
      </c>
      <c r="U92" s="5">
        <f>IF((ContinuousStatsTable[[#This Row],[RepsRequested]]&gt;1),ContinuousStatsTable[[#This Row],[HalfWidth]],ContinuousStatsTable[[#This Row],[BatchMeansHalfWidth]])</f>
        <v>2.7014915395151946E-2</v>
      </c>
    </row>
    <row r="93" spans="1:21" x14ac:dyDescent="0.35">
      <c r="A93" t="s">
        <v>66</v>
      </c>
      <c r="B93" t="s">
        <v>69</v>
      </c>
      <c r="C93">
        <v>7</v>
      </c>
      <c r="D93" t="s">
        <v>78</v>
      </c>
      <c r="E93" t="s">
        <v>83</v>
      </c>
      <c r="F93" t="s">
        <v>80</v>
      </c>
      <c r="G93">
        <v>3.8204494131751601E-2</v>
      </c>
      <c r="H93">
        <v>1.1550983884286299E-2</v>
      </c>
      <c r="I93">
        <v>0</v>
      </c>
      <c r="J93">
        <v>3</v>
      </c>
      <c r="K93">
        <v>0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10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2.0225700754551199E-2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3.8204494131751601E-2</v>
      </c>
      <c r="U93" s="5">
        <f>IF((ContinuousStatsTable[[#This Row],[RepsRequested]]&gt;1),ContinuousStatsTable[[#This Row],[HalfWidth]],ContinuousStatsTable[[#This Row],[BatchMeansHalfWidth]])</f>
        <v>4.7121468395371572E-3</v>
      </c>
    </row>
    <row r="94" spans="1:21" x14ac:dyDescent="0.35">
      <c r="A94" t="s">
        <v>66</v>
      </c>
      <c r="B94" t="s">
        <v>69</v>
      </c>
      <c r="C94">
        <v>7</v>
      </c>
      <c r="D94" t="s">
        <v>84</v>
      </c>
      <c r="E94" t="s">
        <v>85</v>
      </c>
      <c r="F94" t="s">
        <v>86</v>
      </c>
      <c r="G94">
        <v>0.60761888382065699</v>
      </c>
      <c r="H94">
        <v>2.1465170726036799E-2</v>
      </c>
      <c r="I94">
        <v>0</v>
      </c>
      <c r="J94">
        <v>1</v>
      </c>
      <c r="K94">
        <v>0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10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0.58095472748131705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0.60761888382065699</v>
      </c>
      <c r="U94" s="5">
        <f>IF((ContinuousStatsTable[[#This Row],[RepsRequested]]&gt;1),ContinuousStatsTable[[#This Row],[HalfWidth]],ContinuousStatsTable[[#This Row],[BatchMeansHalfWidth]])</f>
        <v>5.8189077528776768E-3</v>
      </c>
    </row>
    <row r="95" spans="1:21" x14ac:dyDescent="0.35">
      <c r="A95" t="s">
        <v>66</v>
      </c>
      <c r="B95" t="s">
        <v>69</v>
      </c>
      <c r="C95">
        <v>7</v>
      </c>
      <c r="D95" t="s">
        <v>84</v>
      </c>
      <c r="E95" t="s">
        <v>87</v>
      </c>
      <c r="F95" t="s">
        <v>86</v>
      </c>
      <c r="G95">
        <v>1.21523776764131</v>
      </c>
      <c r="H95">
        <v>4.2930341452073598E-2</v>
      </c>
      <c r="I95">
        <v>0</v>
      </c>
      <c r="J95">
        <v>2</v>
      </c>
      <c r="K95">
        <v>0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10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1.1619094549626301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1.21523776764131</v>
      </c>
      <c r="U95" s="5">
        <f>IF((ContinuousStatsTable[[#This Row],[RepsRequested]]&gt;1),ContinuousStatsTable[[#This Row],[HalfWidth]],ContinuousStatsTable[[#This Row],[BatchMeansHalfWidth]])</f>
        <v>1.1637815505755052E-2</v>
      </c>
    </row>
    <row r="96" spans="1:21" x14ac:dyDescent="0.35">
      <c r="A96" t="s">
        <v>66</v>
      </c>
      <c r="B96" t="s">
        <v>69</v>
      </c>
      <c r="C96">
        <v>7</v>
      </c>
      <c r="D96" t="s">
        <v>84</v>
      </c>
      <c r="E96" t="s">
        <v>88</v>
      </c>
      <c r="F96" t="s">
        <v>86</v>
      </c>
      <c r="G96">
        <v>2</v>
      </c>
      <c r="H96">
        <v>2E+20</v>
      </c>
      <c r="I96">
        <v>2</v>
      </c>
      <c r="J96">
        <v>2</v>
      </c>
      <c r="K96">
        <v>2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10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2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2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2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35">
      <c r="A97" t="s">
        <v>66</v>
      </c>
      <c r="B97" t="s">
        <v>69</v>
      </c>
      <c r="C97">
        <v>7</v>
      </c>
      <c r="D97" t="s">
        <v>89</v>
      </c>
      <c r="E97" t="s">
        <v>85</v>
      </c>
      <c r="F97" t="s">
        <v>86</v>
      </c>
      <c r="G97">
        <v>0.80913537591663398</v>
      </c>
      <c r="H97">
        <v>8.5580901801202997E-3</v>
      </c>
      <c r="I97">
        <v>0</v>
      </c>
      <c r="J97">
        <v>1</v>
      </c>
      <c r="K97">
        <v>1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10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0.79210128641287902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0.80913537591663398</v>
      </c>
      <c r="U97" s="5">
        <f>IF((ContinuousStatsTable[[#This Row],[RepsRequested]]&gt;1),ContinuousStatsTable[[#This Row],[HalfWidth]],ContinuousStatsTable[[#This Row],[BatchMeansHalfWidth]])</f>
        <v>3.6008298302422069E-3</v>
      </c>
    </row>
    <row r="98" spans="1:21" x14ac:dyDescent="0.35">
      <c r="A98" t="s">
        <v>66</v>
      </c>
      <c r="B98" t="s">
        <v>69</v>
      </c>
      <c r="C98">
        <v>7</v>
      </c>
      <c r="D98" t="s">
        <v>89</v>
      </c>
      <c r="E98" t="s">
        <v>87</v>
      </c>
      <c r="F98" t="s">
        <v>86</v>
      </c>
      <c r="G98">
        <v>0.80913537591663398</v>
      </c>
      <c r="H98">
        <v>8.5580901801202997E-3</v>
      </c>
      <c r="I98">
        <v>0</v>
      </c>
      <c r="J98">
        <v>1</v>
      </c>
      <c r="K98">
        <v>1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10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0.79210128641287902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0.80913537591663398</v>
      </c>
      <c r="U98" s="5">
        <f>IF((ContinuousStatsTable[[#This Row],[RepsRequested]]&gt;1),ContinuousStatsTable[[#This Row],[HalfWidth]],ContinuousStatsTable[[#This Row],[BatchMeansHalfWidth]])</f>
        <v>3.6008298302422069E-3</v>
      </c>
    </row>
    <row r="99" spans="1:21" x14ac:dyDescent="0.35">
      <c r="A99" t="s">
        <v>66</v>
      </c>
      <c r="B99" t="s">
        <v>69</v>
      </c>
      <c r="C99">
        <v>7</v>
      </c>
      <c r="D99" t="s">
        <v>89</v>
      </c>
      <c r="E99" t="s">
        <v>88</v>
      </c>
      <c r="F99" t="s">
        <v>86</v>
      </c>
      <c r="G99">
        <v>1</v>
      </c>
      <c r="H99">
        <v>2E+20</v>
      </c>
      <c r="I99">
        <v>1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10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1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1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1</v>
      </c>
      <c r="U99" s="5">
        <f>IF((ContinuousStatsTable[[#This Row],[RepsRequested]]&gt;1),ContinuousStatsTable[[#This Row],[HalfWidth]],ContinuousStatsTable[[#This Row],[BatchMeansHalfWidth]])</f>
        <v>0</v>
      </c>
    </row>
    <row r="100" spans="1:21" x14ac:dyDescent="0.35">
      <c r="A100" t="s">
        <v>66</v>
      </c>
      <c r="B100" t="s">
        <v>69</v>
      </c>
      <c r="C100">
        <v>7</v>
      </c>
      <c r="D100" t="s">
        <v>90</v>
      </c>
      <c r="E100" t="s">
        <v>85</v>
      </c>
      <c r="F100" t="s">
        <v>86</v>
      </c>
      <c r="G100">
        <v>0.83288388141004499</v>
      </c>
      <c r="H100">
        <v>1.09870612838435E-2</v>
      </c>
      <c r="I100">
        <v>0</v>
      </c>
      <c r="J100">
        <v>1</v>
      </c>
      <c r="K100">
        <v>1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10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0.82778443412963498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0.835591266164598</v>
      </c>
      <c r="U100" s="5">
        <f>IF((ContinuousStatsTable[[#This Row],[RepsRequested]]&gt;1),ContinuousStatsTable[[#This Row],[HalfWidth]],ContinuousStatsTable[[#This Row],[BatchMeansHalfWidth]])</f>
        <v>1.9629860688117127E-3</v>
      </c>
    </row>
    <row r="101" spans="1:21" x14ac:dyDescent="0.35">
      <c r="A101" t="s">
        <v>66</v>
      </c>
      <c r="B101" t="s">
        <v>69</v>
      </c>
      <c r="C101">
        <v>7</v>
      </c>
      <c r="D101" t="s">
        <v>90</v>
      </c>
      <c r="E101" t="s">
        <v>87</v>
      </c>
      <c r="F101" t="s">
        <v>86</v>
      </c>
      <c r="G101">
        <v>0.83288388141004499</v>
      </c>
      <c r="H101">
        <v>1.09870612838435E-2</v>
      </c>
      <c r="I101">
        <v>0</v>
      </c>
      <c r="J101">
        <v>1</v>
      </c>
      <c r="K101">
        <v>1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10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0.82778443412963498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0.835591266164598</v>
      </c>
      <c r="U101" s="5">
        <f>IF((ContinuousStatsTable[[#This Row],[RepsRequested]]&gt;1),ContinuousStatsTable[[#This Row],[HalfWidth]],ContinuousStatsTable[[#This Row],[BatchMeansHalfWidth]])</f>
        <v>1.9629860688117127E-3</v>
      </c>
    </row>
    <row r="102" spans="1:21" x14ac:dyDescent="0.35">
      <c r="A102" t="s">
        <v>66</v>
      </c>
      <c r="B102" t="s">
        <v>69</v>
      </c>
      <c r="C102">
        <v>7</v>
      </c>
      <c r="D102" t="s">
        <v>90</v>
      </c>
      <c r="E102" t="s">
        <v>88</v>
      </c>
      <c r="F102" t="s">
        <v>86</v>
      </c>
      <c r="G102">
        <v>1</v>
      </c>
      <c r="H102">
        <v>2E+20</v>
      </c>
      <c r="I102">
        <v>1</v>
      </c>
      <c r="J102">
        <v>1</v>
      </c>
      <c r="K102">
        <v>1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10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1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1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1</v>
      </c>
      <c r="U102" s="5">
        <f>IF((ContinuousStatsTable[[#This Row],[RepsRequested]]&gt;1),ContinuousStatsTable[[#This Row],[HalfWidth]],ContinuousStatsTable[[#This Row],[BatchMeansHalfWidth]])</f>
        <v>0</v>
      </c>
    </row>
    <row r="103" spans="1:21" x14ac:dyDescent="0.35">
      <c r="A103" t="s">
        <v>66</v>
      </c>
      <c r="B103" t="s">
        <v>69</v>
      </c>
      <c r="C103">
        <v>7</v>
      </c>
      <c r="D103" t="s">
        <v>91</v>
      </c>
      <c r="E103" t="s">
        <v>85</v>
      </c>
      <c r="F103" t="s">
        <v>86</v>
      </c>
      <c r="G103">
        <v>0.83908808891262199</v>
      </c>
      <c r="H103">
        <v>8.6226898323251699E-3</v>
      </c>
      <c r="I103">
        <v>0</v>
      </c>
      <c r="J103">
        <v>1</v>
      </c>
      <c r="K103">
        <v>1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10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0.82692860079846797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0.83908808891262199</v>
      </c>
      <c r="U103" s="5">
        <f>IF((ContinuousStatsTable[[#This Row],[RepsRequested]]&gt;1),ContinuousStatsTable[[#This Row],[HalfWidth]],ContinuousStatsTable[[#This Row],[BatchMeansHalfWidth]])</f>
        <v>2.9431012365895297E-3</v>
      </c>
    </row>
    <row r="104" spans="1:21" x14ac:dyDescent="0.35">
      <c r="A104" t="s">
        <v>66</v>
      </c>
      <c r="B104" t="s">
        <v>69</v>
      </c>
      <c r="C104">
        <v>7</v>
      </c>
      <c r="D104" t="s">
        <v>91</v>
      </c>
      <c r="E104" t="s">
        <v>87</v>
      </c>
      <c r="F104" t="s">
        <v>86</v>
      </c>
      <c r="G104">
        <v>0.83908808891262199</v>
      </c>
      <c r="H104">
        <v>8.6226898323251699E-3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10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0.82692860079846797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0.83908808891262199</v>
      </c>
      <c r="U104" s="5">
        <f>IF((ContinuousStatsTable[[#This Row],[RepsRequested]]&gt;1),ContinuousStatsTable[[#This Row],[HalfWidth]],ContinuousStatsTable[[#This Row],[BatchMeansHalfWidth]])</f>
        <v>2.9431012365895297E-3</v>
      </c>
    </row>
    <row r="105" spans="1:21" x14ac:dyDescent="0.35">
      <c r="A105" t="s">
        <v>66</v>
      </c>
      <c r="B105" t="s">
        <v>69</v>
      </c>
      <c r="C105">
        <v>7</v>
      </c>
      <c r="D105" t="s">
        <v>91</v>
      </c>
      <c r="E105" t="s">
        <v>88</v>
      </c>
      <c r="F105" t="s">
        <v>86</v>
      </c>
      <c r="G105">
        <v>1</v>
      </c>
      <c r="H105">
        <v>2E+20</v>
      </c>
      <c r="I105">
        <v>1</v>
      </c>
      <c r="J105">
        <v>1</v>
      </c>
      <c r="K105">
        <v>1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10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1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1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1</v>
      </c>
      <c r="U105" s="5">
        <f>IF((ContinuousStatsTable[[#This Row],[RepsRequested]]&gt;1),ContinuousStatsTable[[#This Row],[HalfWidth]],ContinuousStatsTable[[#This Row],[BatchMeansHalfWidth]])</f>
        <v>0</v>
      </c>
    </row>
    <row r="106" spans="1:21" x14ac:dyDescent="0.35">
      <c r="A106" t="s">
        <v>66</v>
      </c>
      <c r="B106" t="s">
        <v>69</v>
      </c>
      <c r="C106">
        <v>7</v>
      </c>
      <c r="D106" t="s">
        <v>81</v>
      </c>
      <c r="E106" t="s">
        <v>83</v>
      </c>
      <c r="F106" t="s">
        <v>80</v>
      </c>
      <c r="G106">
        <v>0.11156380554871401</v>
      </c>
      <c r="H106">
        <v>2E+20</v>
      </c>
      <c r="I106">
        <v>0</v>
      </c>
      <c r="J106">
        <v>2</v>
      </c>
      <c r="K106">
        <v>0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10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8.7958425850064206E-2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0.11156380554871401</v>
      </c>
      <c r="U106" s="5">
        <f>IF((ContinuousStatsTable[[#This Row],[RepsRequested]]&gt;1),ContinuousStatsTable[[#This Row],[HalfWidth]],ContinuousStatsTable[[#This Row],[BatchMeansHalfWidth]])</f>
        <v>4.9904349466243737E-3</v>
      </c>
    </row>
    <row r="107" spans="1:21" x14ac:dyDescent="0.35">
      <c r="A107" t="s">
        <v>66</v>
      </c>
      <c r="B107" t="s">
        <v>69</v>
      </c>
      <c r="C107">
        <v>8</v>
      </c>
      <c r="D107" t="s">
        <v>70</v>
      </c>
      <c r="E107" t="s">
        <v>82</v>
      </c>
      <c r="F107" t="s">
        <v>72</v>
      </c>
      <c r="G107">
        <v>4.8505835202279197</v>
      </c>
      <c r="H107">
        <v>8.7061086305162502E-2</v>
      </c>
      <c r="I107">
        <v>0</v>
      </c>
      <c r="J107">
        <v>10</v>
      </c>
      <c r="K107">
        <v>4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10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4.7851917460602902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4.8974164543117702</v>
      </c>
      <c r="U107" s="5">
        <f>IF((ContinuousStatsTable[[#This Row],[RepsRequested]]&gt;1),ContinuousStatsTable[[#This Row],[HalfWidth]],ContinuousStatsTable[[#This Row],[BatchMeansHalfWidth]])</f>
        <v>2.7014915395151946E-2</v>
      </c>
    </row>
    <row r="108" spans="1:21" x14ac:dyDescent="0.35">
      <c r="A108" t="s">
        <v>66</v>
      </c>
      <c r="B108" t="s">
        <v>69</v>
      </c>
      <c r="C108">
        <v>8</v>
      </c>
      <c r="D108" t="s">
        <v>78</v>
      </c>
      <c r="E108" t="s">
        <v>83</v>
      </c>
      <c r="F108" t="s">
        <v>80</v>
      </c>
      <c r="G108">
        <v>2.6052143122495701E-2</v>
      </c>
      <c r="H108">
        <v>8.7738118093786607E-3</v>
      </c>
      <c r="I108">
        <v>0</v>
      </c>
      <c r="J108">
        <v>2</v>
      </c>
      <c r="K108">
        <v>0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10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2.0225700754551199E-2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3.8204494131751601E-2</v>
      </c>
      <c r="U108" s="5">
        <f>IF((ContinuousStatsTable[[#This Row],[RepsRequested]]&gt;1),ContinuousStatsTable[[#This Row],[HalfWidth]],ContinuousStatsTable[[#This Row],[BatchMeansHalfWidth]])</f>
        <v>4.7121468395371572E-3</v>
      </c>
    </row>
    <row r="109" spans="1:21" x14ac:dyDescent="0.35">
      <c r="A109" t="s">
        <v>66</v>
      </c>
      <c r="B109" t="s">
        <v>69</v>
      </c>
      <c r="C109">
        <v>8</v>
      </c>
      <c r="D109" t="s">
        <v>84</v>
      </c>
      <c r="E109" t="s">
        <v>85</v>
      </c>
      <c r="F109" t="s">
        <v>86</v>
      </c>
      <c r="G109">
        <v>0.59528944895696501</v>
      </c>
      <c r="H109">
        <v>2.0985743204357601E-2</v>
      </c>
      <c r="I109">
        <v>0</v>
      </c>
      <c r="J109">
        <v>1</v>
      </c>
      <c r="K109">
        <v>0.5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10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0.58095472748131705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0.60761888382065699</v>
      </c>
      <c r="U109" s="5">
        <f>IF((ContinuousStatsTable[[#This Row],[RepsRequested]]&gt;1),ContinuousStatsTable[[#This Row],[HalfWidth]],ContinuousStatsTable[[#This Row],[BatchMeansHalfWidth]])</f>
        <v>5.8189077528776768E-3</v>
      </c>
    </row>
    <row r="110" spans="1:21" x14ac:dyDescent="0.35">
      <c r="A110" t="s">
        <v>66</v>
      </c>
      <c r="B110" t="s">
        <v>69</v>
      </c>
      <c r="C110">
        <v>8</v>
      </c>
      <c r="D110" t="s">
        <v>84</v>
      </c>
      <c r="E110" t="s">
        <v>87</v>
      </c>
      <c r="F110" t="s">
        <v>86</v>
      </c>
      <c r="G110">
        <v>1.19057889791393</v>
      </c>
      <c r="H110">
        <v>4.1971486408715203E-2</v>
      </c>
      <c r="I110">
        <v>0</v>
      </c>
      <c r="J110">
        <v>2</v>
      </c>
      <c r="K110">
        <v>1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10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1.1619094549626301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1.21523776764131</v>
      </c>
      <c r="U110" s="5">
        <f>IF((ContinuousStatsTable[[#This Row],[RepsRequested]]&gt;1),ContinuousStatsTable[[#This Row],[HalfWidth]],ContinuousStatsTable[[#This Row],[BatchMeansHalfWidth]])</f>
        <v>1.1637815505755052E-2</v>
      </c>
    </row>
    <row r="111" spans="1:21" x14ac:dyDescent="0.35">
      <c r="A111" t="s">
        <v>66</v>
      </c>
      <c r="B111" t="s">
        <v>69</v>
      </c>
      <c r="C111">
        <v>8</v>
      </c>
      <c r="D111" t="s">
        <v>84</v>
      </c>
      <c r="E111" t="s">
        <v>88</v>
      </c>
      <c r="F111" t="s">
        <v>86</v>
      </c>
      <c r="G111">
        <v>2</v>
      </c>
      <c r="H111">
        <v>2E+20</v>
      </c>
      <c r="I111">
        <v>2</v>
      </c>
      <c r="J111">
        <v>2</v>
      </c>
      <c r="K111">
        <v>2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10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2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2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2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35">
      <c r="A112" t="s">
        <v>66</v>
      </c>
      <c r="B112" t="s">
        <v>69</v>
      </c>
      <c r="C112">
        <v>8</v>
      </c>
      <c r="D112" t="s">
        <v>89</v>
      </c>
      <c r="E112" t="s">
        <v>85</v>
      </c>
      <c r="F112" t="s">
        <v>86</v>
      </c>
      <c r="G112">
        <v>0.80586278928597399</v>
      </c>
      <c r="H112">
        <v>8.3604903314343608E-3</v>
      </c>
      <c r="I112">
        <v>0</v>
      </c>
      <c r="J112">
        <v>1</v>
      </c>
      <c r="K112">
        <v>1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10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0.79210128641287902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0.80913537591663398</v>
      </c>
      <c r="U112" s="5">
        <f>IF((ContinuousStatsTable[[#This Row],[RepsRequested]]&gt;1),ContinuousStatsTable[[#This Row],[HalfWidth]],ContinuousStatsTable[[#This Row],[BatchMeansHalfWidth]])</f>
        <v>3.6008298302422069E-3</v>
      </c>
    </row>
    <row r="113" spans="1:21" x14ac:dyDescent="0.35">
      <c r="A113" t="s">
        <v>66</v>
      </c>
      <c r="B113" t="s">
        <v>69</v>
      </c>
      <c r="C113">
        <v>8</v>
      </c>
      <c r="D113" t="s">
        <v>89</v>
      </c>
      <c r="E113" t="s">
        <v>87</v>
      </c>
      <c r="F113" t="s">
        <v>86</v>
      </c>
      <c r="G113">
        <v>0.80586278928597399</v>
      </c>
      <c r="H113">
        <v>8.3604903314343608E-3</v>
      </c>
      <c r="I113">
        <v>0</v>
      </c>
      <c r="J113">
        <v>1</v>
      </c>
      <c r="K113">
        <v>1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10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0.79210128641287902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0.80913537591663398</v>
      </c>
      <c r="U113" s="5">
        <f>IF((ContinuousStatsTable[[#This Row],[RepsRequested]]&gt;1),ContinuousStatsTable[[#This Row],[HalfWidth]],ContinuousStatsTable[[#This Row],[BatchMeansHalfWidth]])</f>
        <v>3.6008298302422069E-3</v>
      </c>
    </row>
    <row r="114" spans="1:21" x14ac:dyDescent="0.35">
      <c r="A114" t="s">
        <v>66</v>
      </c>
      <c r="B114" t="s">
        <v>69</v>
      </c>
      <c r="C114">
        <v>8</v>
      </c>
      <c r="D114" t="s">
        <v>89</v>
      </c>
      <c r="E114" t="s">
        <v>88</v>
      </c>
      <c r="F114" t="s">
        <v>86</v>
      </c>
      <c r="G114">
        <v>1</v>
      </c>
      <c r="H114">
        <v>2E+20</v>
      </c>
      <c r="I114">
        <v>1</v>
      </c>
      <c r="J114">
        <v>1</v>
      </c>
      <c r="K114">
        <v>1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10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1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1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1</v>
      </c>
      <c r="U114" s="5">
        <f>IF((ContinuousStatsTable[[#This Row],[RepsRequested]]&gt;1),ContinuousStatsTable[[#This Row],[HalfWidth]],ContinuousStatsTable[[#This Row],[BatchMeansHalfWidth]])</f>
        <v>0</v>
      </c>
    </row>
    <row r="115" spans="1:21" x14ac:dyDescent="0.35">
      <c r="A115" t="s">
        <v>66</v>
      </c>
      <c r="B115" t="s">
        <v>69</v>
      </c>
      <c r="C115">
        <v>8</v>
      </c>
      <c r="D115" t="s">
        <v>90</v>
      </c>
      <c r="E115" t="s">
        <v>85</v>
      </c>
      <c r="F115" t="s">
        <v>86</v>
      </c>
      <c r="G115">
        <v>0.83459722885795196</v>
      </c>
      <c r="H115">
        <v>8.2625446415589103E-3</v>
      </c>
      <c r="I115">
        <v>0</v>
      </c>
      <c r="J115">
        <v>1</v>
      </c>
      <c r="K115">
        <v>0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10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0.82778443412963498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0.835591266164598</v>
      </c>
      <c r="U115" s="5">
        <f>IF((ContinuousStatsTable[[#This Row],[RepsRequested]]&gt;1),ContinuousStatsTable[[#This Row],[HalfWidth]],ContinuousStatsTable[[#This Row],[BatchMeansHalfWidth]])</f>
        <v>1.9629860688117127E-3</v>
      </c>
    </row>
    <row r="116" spans="1:21" x14ac:dyDescent="0.35">
      <c r="A116" t="s">
        <v>66</v>
      </c>
      <c r="B116" t="s">
        <v>69</v>
      </c>
      <c r="C116">
        <v>8</v>
      </c>
      <c r="D116" t="s">
        <v>90</v>
      </c>
      <c r="E116" t="s">
        <v>87</v>
      </c>
      <c r="F116" t="s">
        <v>86</v>
      </c>
      <c r="G116">
        <v>0.83459722885795196</v>
      </c>
      <c r="H116">
        <v>8.2625446415589103E-3</v>
      </c>
      <c r="I116">
        <v>0</v>
      </c>
      <c r="J116">
        <v>1</v>
      </c>
      <c r="K116">
        <v>0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10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0.82778443412963498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0.835591266164598</v>
      </c>
      <c r="U116" s="5">
        <f>IF((ContinuousStatsTable[[#This Row],[RepsRequested]]&gt;1),ContinuousStatsTable[[#This Row],[HalfWidth]],ContinuousStatsTable[[#This Row],[BatchMeansHalfWidth]])</f>
        <v>1.9629860688117127E-3</v>
      </c>
    </row>
    <row r="117" spans="1:21" x14ac:dyDescent="0.35">
      <c r="A117" t="s">
        <v>66</v>
      </c>
      <c r="B117" t="s">
        <v>69</v>
      </c>
      <c r="C117">
        <v>8</v>
      </c>
      <c r="D117" t="s">
        <v>90</v>
      </c>
      <c r="E117" t="s">
        <v>88</v>
      </c>
      <c r="F117" t="s">
        <v>86</v>
      </c>
      <c r="G117">
        <v>1</v>
      </c>
      <c r="H117">
        <v>2E+20</v>
      </c>
      <c r="I117">
        <v>1</v>
      </c>
      <c r="J117">
        <v>1</v>
      </c>
      <c r="K117">
        <v>1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10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1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1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1</v>
      </c>
      <c r="U117" s="5">
        <f>IF((ContinuousStatsTable[[#This Row],[RepsRequested]]&gt;1),ContinuousStatsTable[[#This Row],[HalfWidth]],ContinuousStatsTable[[#This Row],[BatchMeansHalfWidth]])</f>
        <v>0</v>
      </c>
    </row>
    <row r="118" spans="1:21" x14ac:dyDescent="0.35">
      <c r="A118" t="s">
        <v>66</v>
      </c>
      <c r="B118" t="s">
        <v>69</v>
      </c>
      <c r="C118">
        <v>8</v>
      </c>
      <c r="D118" t="s">
        <v>91</v>
      </c>
      <c r="E118" t="s">
        <v>85</v>
      </c>
      <c r="F118" t="s">
        <v>86</v>
      </c>
      <c r="G118">
        <v>0.83882879042182301</v>
      </c>
      <c r="H118">
        <v>8.6040314211386203E-3</v>
      </c>
      <c r="I118">
        <v>0</v>
      </c>
      <c r="J118">
        <v>1</v>
      </c>
      <c r="K118">
        <v>1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10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0.82692860079846797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0.83908808891262199</v>
      </c>
      <c r="U118" s="5">
        <f>IF((ContinuousStatsTable[[#This Row],[RepsRequested]]&gt;1),ContinuousStatsTable[[#This Row],[HalfWidth]],ContinuousStatsTable[[#This Row],[BatchMeansHalfWidth]])</f>
        <v>2.9431012365895297E-3</v>
      </c>
    </row>
    <row r="119" spans="1:21" x14ac:dyDescent="0.35">
      <c r="A119" t="s">
        <v>66</v>
      </c>
      <c r="B119" t="s">
        <v>69</v>
      </c>
      <c r="C119">
        <v>8</v>
      </c>
      <c r="D119" t="s">
        <v>91</v>
      </c>
      <c r="E119" t="s">
        <v>87</v>
      </c>
      <c r="F119" t="s">
        <v>86</v>
      </c>
      <c r="G119">
        <v>0.83882879042182301</v>
      </c>
      <c r="H119">
        <v>8.6040314211386203E-3</v>
      </c>
      <c r="I119">
        <v>0</v>
      </c>
      <c r="J119">
        <v>1</v>
      </c>
      <c r="K119">
        <v>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10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0.82692860079846797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0.83908808891262199</v>
      </c>
      <c r="U119" s="5">
        <f>IF((ContinuousStatsTable[[#This Row],[RepsRequested]]&gt;1),ContinuousStatsTable[[#This Row],[HalfWidth]],ContinuousStatsTable[[#This Row],[BatchMeansHalfWidth]])</f>
        <v>2.9431012365895297E-3</v>
      </c>
    </row>
    <row r="120" spans="1:21" x14ac:dyDescent="0.35">
      <c r="A120" t="s">
        <v>66</v>
      </c>
      <c r="B120" t="s">
        <v>69</v>
      </c>
      <c r="C120">
        <v>8</v>
      </c>
      <c r="D120" t="s">
        <v>91</v>
      </c>
      <c r="E120" t="s">
        <v>88</v>
      </c>
      <c r="F120" t="s">
        <v>86</v>
      </c>
      <c r="G120">
        <v>1</v>
      </c>
      <c r="H120">
        <v>2E+20</v>
      </c>
      <c r="I120">
        <v>1</v>
      </c>
      <c r="J120">
        <v>1</v>
      </c>
      <c r="K120">
        <v>1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10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1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1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 s="5">
        <f>IF((ContinuousStatsTable[[#This Row],[RepsRequested]]&gt;1),ContinuousStatsTable[[#This Row],[HalfWidth]],ContinuousStatsTable[[#This Row],[BatchMeansHalfWidth]])</f>
        <v>0</v>
      </c>
    </row>
    <row r="121" spans="1:21" x14ac:dyDescent="0.35">
      <c r="A121" t="s">
        <v>66</v>
      </c>
      <c r="B121" t="s">
        <v>69</v>
      </c>
      <c r="C121">
        <v>8</v>
      </c>
      <c r="D121" t="s">
        <v>81</v>
      </c>
      <c r="E121" t="s">
        <v>83</v>
      </c>
      <c r="F121" t="s">
        <v>80</v>
      </c>
      <c r="G121">
        <v>0.10789531478836099</v>
      </c>
      <c r="H121">
        <v>2E+20</v>
      </c>
      <c r="I121">
        <v>0</v>
      </c>
      <c r="J121">
        <v>2</v>
      </c>
      <c r="K121">
        <v>0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10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8.7958425850064206E-2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0.11156380554871401</v>
      </c>
      <c r="U121" s="5">
        <f>IF((ContinuousStatsTable[[#This Row],[RepsRequested]]&gt;1),ContinuousStatsTable[[#This Row],[HalfWidth]],ContinuousStatsTable[[#This Row],[BatchMeansHalfWidth]])</f>
        <v>4.9904349466243737E-3</v>
      </c>
    </row>
    <row r="122" spans="1:21" x14ac:dyDescent="0.35">
      <c r="A122" t="s">
        <v>66</v>
      </c>
      <c r="B122" t="s">
        <v>69</v>
      </c>
      <c r="C122">
        <v>9</v>
      </c>
      <c r="D122" t="s">
        <v>70</v>
      </c>
      <c r="E122" t="s">
        <v>82</v>
      </c>
      <c r="F122" t="s">
        <v>72</v>
      </c>
      <c r="G122">
        <v>4.8163807816473199</v>
      </c>
      <c r="H122">
        <v>8.2669852407818406E-2</v>
      </c>
      <c r="I122">
        <v>0</v>
      </c>
      <c r="J122">
        <v>10</v>
      </c>
      <c r="K122">
        <v>4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10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4.7851917460602902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4.8974164543117702</v>
      </c>
      <c r="U122" s="5">
        <f>IF((ContinuousStatsTable[[#This Row],[RepsRequested]]&gt;1),ContinuousStatsTable[[#This Row],[HalfWidth]],ContinuousStatsTable[[#This Row],[BatchMeansHalfWidth]])</f>
        <v>2.7014915395151946E-2</v>
      </c>
    </row>
    <row r="123" spans="1:21" x14ac:dyDescent="0.35">
      <c r="A123" t="s">
        <v>66</v>
      </c>
      <c r="B123" t="s">
        <v>69</v>
      </c>
      <c r="C123">
        <v>9</v>
      </c>
      <c r="D123" t="s">
        <v>78</v>
      </c>
      <c r="E123" t="s">
        <v>83</v>
      </c>
      <c r="F123" t="s">
        <v>80</v>
      </c>
      <c r="G123">
        <v>2.68108856092555E-2</v>
      </c>
      <c r="H123">
        <v>8.6567541140943303E-3</v>
      </c>
      <c r="I123">
        <v>0</v>
      </c>
      <c r="J123">
        <v>3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10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2.0225700754551199E-2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3.8204494131751601E-2</v>
      </c>
      <c r="U123" s="5">
        <f>IF((ContinuousStatsTable[[#This Row],[RepsRequested]]&gt;1),ContinuousStatsTable[[#This Row],[HalfWidth]],ContinuousStatsTable[[#This Row],[BatchMeansHalfWidth]])</f>
        <v>4.7121468395371572E-3</v>
      </c>
    </row>
    <row r="124" spans="1:21" x14ac:dyDescent="0.35">
      <c r="A124" t="s">
        <v>66</v>
      </c>
      <c r="B124" t="s">
        <v>69</v>
      </c>
      <c r="C124">
        <v>9</v>
      </c>
      <c r="D124" t="s">
        <v>84</v>
      </c>
      <c r="E124" t="s">
        <v>85</v>
      </c>
      <c r="F124" t="s">
        <v>86</v>
      </c>
      <c r="G124">
        <v>0.59666349377163097</v>
      </c>
      <c r="H124">
        <v>2.00269942423754E-2</v>
      </c>
      <c r="I124">
        <v>0</v>
      </c>
      <c r="J124">
        <v>1</v>
      </c>
      <c r="K124">
        <v>0.5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10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0.58095472748131705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0.60761888382065699</v>
      </c>
      <c r="U124" s="5">
        <f>IF((ContinuousStatsTable[[#This Row],[RepsRequested]]&gt;1),ContinuousStatsTable[[#This Row],[HalfWidth]],ContinuousStatsTable[[#This Row],[BatchMeansHalfWidth]])</f>
        <v>5.8189077528776768E-3</v>
      </c>
    </row>
    <row r="125" spans="1:21" x14ac:dyDescent="0.35">
      <c r="A125" t="s">
        <v>66</v>
      </c>
      <c r="B125" t="s">
        <v>69</v>
      </c>
      <c r="C125">
        <v>9</v>
      </c>
      <c r="D125" t="s">
        <v>84</v>
      </c>
      <c r="E125" t="s">
        <v>87</v>
      </c>
      <c r="F125" t="s">
        <v>86</v>
      </c>
      <c r="G125">
        <v>1.1933269875432599</v>
      </c>
      <c r="H125">
        <v>4.0053988484750801E-2</v>
      </c>
      <c r="I125">
        <v>0</v>
      </c>
      <c r="J125">
        <v>2</v>
      </c>
      <c r="K125">
        <v>1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10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1.1619094549626301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1.21523776764131</v>
      </c>
      <c r="U125" s="5">
        <f>IF((ContinuousStatsTable[[#This Row],[RepsRequested]]&gt;1),ContinuousStatsTable[[#This Row],[HalfWidth]],ContinuousStatsTable[[#This Row],[BatchMeansHalfWidth]])</f>
        <v>1.1637815505755052E-2</v>
      </c>
    </row>
    <row r="126" spans="1:21" x14ac:dyDescent="0.35">
      <c r="A126" t="s">
        <v>66</v>
      </c>
      <c r="B126" t="s">
        <v>69</v>
      </c>
      <c r="C126">
        <v>9</v>
      </c>
      <c r="D126" t="s">
        <v>84</v>
      </c>
      <c r="E126" t="s">
        <v>88</v>
      </c>
      <c r="F126" t="s">
        <v>86</v>
      </c>
      <c r="G126">
        <v>2</v>
      </c>
      <c r="H126">
        <v>2E+20</v>
      </c>
      <c r="I126">
        <v>2</v>
      </c>
      <c r="J126">
        <v>2</v>
      </c>
      <c r="K126">
        <v>2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10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2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2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2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35">
      <c r="A127" t="s">
        <v>66</v>
      </c>
      <c r="B127" t="s">
        <v>69</v>
      </c>
      <c r="C127">
        <v>9</v>
      </c>
      <c r="D127" t="s">
        <v>89</v>
      </c>
      <c r="E127" t="s">
        <v>85</v>
      </c>
      <c r="F127" t="s">
        <v>86</v>
      </c>
      <c r="G127">
        <v>0.79679566284641001</v>
      </c>
      <c r="H127">
        <v>3E+20</v>
      </c>
      <c r="I127">
        <v>0</v>
      </c>
      <c r="J127">
        <v>1</v>
      </c>
      <c r="K127">
        <v>1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10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0.79210128641287902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0.80913537591663398</v>
      </c>
      <c r="U127" s="5">
        <f>IF((ContinuousStatsTable[[#This Row],[RepsRequested]]&gt;1),ContinuousStatsTable[[#This Row],[HalfWidth]],ContinuousStatsTable[[#This Row],[BatchMeansHalfWidth]])</f>
        <v>3.6008298302422069E-3</v>
      </c>
    </row>
    <row r="128" spans="1:21" x14ac:dyDescent="0.35">
      <c r="A128" t="s">
        <v>66</v>
      </c>
      <c r="B128" t="s">
        <v>69</v>
      </c>
      <c r="C128">
        <v>9</v>
      </c>
      <c r="D128" t="s">
        <v>89</v>
      </c>
      <c r="E128" t="s">
        <v>87</v>
      </c>
      <c r="F128" t="s">
        <v>86</v>
      </c>
      <c r="G128">
        <v>0.79679566284641001</v>
      </c>
      <c r="H128">
        <v>3E+20</v>
      </c>
      <c r="I128">
        <v>0</v>
      </c>
      <c r="J128">
        <v>1</v>
      </c>
      <c r="K128">
        <v>1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10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0.79210128641287902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0.80913537591663398</v>
      </c>
      <c r="U128" s="5">
        <f>IF((ContinuousStatsTable[[#This Row],[RepsRequested]]&gt;1),ContinuousStatsTable[[#This Row],[HalfWidth]],ContinuousStatsTable[[#This Row],[BatchMeansHalfWidth]])</f>
        <v>3.6008298302422069E-3</v>
      </c>
    </row>
    <row r="129" spans="1:21" x14ac:dyDescent="0.35">
      <c r="A129" t="s">
        <v>66</v>
      </c>
      <c r="B129" t="s">
        <v>69</v>
      </c>
      <c r="C129">
        <v>9</v>
      </c>
      <c r="D129" t="s">
        <v>89</v>
      </c>
      <c r="E129" t="s">
        <v>88</v>
      </c>
      <c r="F129" t="s">
        <v>86</v>
      </c>
      <c r="G129">
        <v>1</v>
      </c>
      <c r="H129">
        <v>2E+20</v>
      </c>
      <c r="I129">
        <v>1</v>
      </c>
      <c r="J129">
        <v>1</v>
      </c>
      <c r="K129">
        <v>1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10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1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1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1</v>
      </c>
      <c r="U129" s="5">
        <f>IF((ContinuousStatsTable[[#This Row],[RepsRequested]]&gt;1),ContinuousStatsTable[[#This Row],[HalfWidth]],ContinuousStatsTable[[#This Row],[BatchMeansHalfWidth]])</f>
        <v>0</v>
      </c>
    </row>
    <row r="130" spans="1:21" x14ac:dyDescent="0.35">
      <c r="A130" t="s">
        <v>66</v>
      </c>
      <c r="B130" t="s">
        <v>69</v>
      </c>
      <c r="C130">
        <v>9</v>
      </c>
      <c r="D130" t="s">
        <v>90</v>
      </c>
      <c r="E130" t="s">
        <v>85</v>
      </c>
      <c r="F130" t="s">
        <v>86</v>
      </c>
      <c r="G130">
        <v>0.83424289436680299</v>
      </c>
      <c r="H130">
        <v>8.3751029767661807E-3</v>
      </c>
      <c r="I130">
        <v>0</v>
      </c>
      <c r="J130">
        <v>1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10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0.82778443412963498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0.835591266164598</v>
      </c>
      <c r="U130" s="5">
        <f>IF((ContinuousStatsTable[[#This Row],[RepsRequested]]&gt;1),ContinuousStatsTable[[#This Row],[HalfWidth]],ContinuousStatsTable[[#This Row],[BatchMeansHalfWidth]])</f>
        <v>1.9629860688117127E-3</v>
      </c>
    </row>
    <row r="131" spans="1:21" x14ac:dyDescent="0.35">
      <c r="A131" t="s">
        <v>66</v>
      </c>
      <c r="B131" t="s">
        <v>69</v>
      </c>
      <c r="C131">
        <v>9</v>
      </c>
      <c r="D131" t="s">
        <v>90</v>
      </c>
      <c r="E131" t="s">
        <v>87</v>
      </c>
      <c r="F131" t="s">
        <v>86</v>
      </c>
      <c r="G131">
        <v>0.83424289436680299</v>
      </c>
      <c r="H131">
        <v>8.3751029767661807E-3</v>
      </c>
      <c r="I131">
        <v>0</v>
      </c>
      <c r="J131">
        <v>1</v>
      </c>
      <c r="K131">
        <v>1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10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0.82778443412963498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0.835591266164598</v>
      </c>
      <c r="U131" s="5">
        <f>IF((ContinuousStatsTable[[#This Row],[RepsRequested]]&gt;1),ContinuousStatsTable[[#This Row],[HalfWidth]],ContinuousStatsTable[[#This Row],[BatchMeansHalfWidth]])</f>
        <v>1.9629860688117127E-3</v>
      </c>
    </row>
    <row r="132" spans="1:21" x14ac:dyDescent="0.35">
      <c r="A132" t="s">
        <v>66</v>
      </c>
      <c r="B132" t="s">
        <v>69</v>
      </c>
      <c r="C132">
        <v>9</v>
      </c>
      <c r="D132" t="s">
        <v>90</v>
      </c>
      <c r="E132" t="s">
        <v>88</v>
      </c>
      <c r="F132" t="s">
        <v>86</v>
      </c>
      <c r="G132">
        <v>1</v>
      </c>
      <c r="H132">
        <v>2E+20</v>
      </c>
      <c r="I132">
        <v>1</v>
      </c>
      <c r="J132">
        <v>1</v>
      </c>
      <c r="K132">
        <v>1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10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1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1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1</v>
      </c>
      <c r="U132" s="5">
        <f>IF((ContinuousStatsTable[[#This Row],[RepsRequested]]&gt;1),ContinuousStatsTable[[#This Row],[HalfWidth]],ContinuousStatsTable[[#This Row],[BatchMeansHalfWidth]])</f>
        <v>0</v>
      </c>
    </row>
    <row r="133" spans="1:21" x14ac:dyDescent="0.35">
      <c r="A133" t="s">
        <v>66</v>
      </c>
      <c r="B133" t="s">
        <v>69</v>
      </c>
      <c r="C133">
        <v>9</v>
      </c>
      <c r="D133" t="s">
        <v>91</v>
      </c>
      <c r="E133" t="s">
        <v>85</v>
      </c>
      <c r="F133" t="s">
        <v>86</v>
      </c>
      <c r="G133">
        <v>0.82692860079846797</v>
      </c>
      <c r="H133">
        <v>7.0055792882769896E-3</v>
      </c>
      <c r="I133">
        <v>0</v>
      </c>
      <c r="J133">
        <v>1</v>
      </c>
      <c r="K133">
        <v>1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10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0.82692860079846797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0.83908808891262199</v>
      </c>
      <c r="U133" s="5">
        <f>IF((ContinuousStatsTable[[#This Row],[RepsRequested]]&gt;1),ContinuousStatsTable[[#This Row],[HalfWidth]],ContinuousStatsTable[[#This Row],[BatchMeansHalfWidth]])</f>
        <v>2.9431012365895297E-3</v>
      </c>
    </row>
    <row r="134" spans="1:21" x14ac:dyDescent="0.35">
      <c r="A134" t="s">
        <v>66</v>
      </c>
      <c r="B134" t="s">
        <v>69</v>
      </c>
      <c r="C134">
        <v>9</v>
      </c>
      <c r="D134" t="s">
        <v>91</v>
      </c>
      <c r="E134" t="s">
        <v>87</v>
      </c>
      <c r="F134" t="s">
        <v>86</v>
      </c>
      <c r="G134">
        <v>0.82692860079846797</v>
      </c>
      <c r="H134">
        <v>7.0055792882769896E-3</v>
      </c>
      <c r="I134">
        <v>0</v>
      </c>
      <c r="J134">
        <v>1</v>
      </c>
      <c r="K134">
        <v>1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10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0.82692860079846797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0.83908808891262199</v>
      </c>
      <c r="U134" s="5">
        <f>IF((ContinuousStatsTable[[#This Row],[RepsRequested]]&gt;1),ContinuousStatsTable[[#This Row],[HalfWidth]],ContinuousStatsTable[[#This Row],[BatchMeansHalfWidth]])</f>
        <v>2.9431012365895297E-3</v>
      </c>
    </row>
    <row r="135" spans="1:21" x14ac:dyDescent="0.35">
      <c r="A135" t="s">
        <v>66</v>
      </c>
      <c r="B135" t="s">
        <v>69</v>
      </c>
      <c r="C135">
        <v>9</v>
      </c>
      <c r="D135" t="s">
        <v>91</v>
      </c>
      <c r="E135" t="s">
        <v>88</v>
      </c>
      <c r="F135" t="s">
        <v>86</v>
      </c>
      <c r="G135">
        <v>1</v>
      </c>
      <c r="H135">
        <v>2E+20</v>
      </c>
      <c r="I135">
        <v>1</v>
      </c>
      <c r="J135">
        <v>1</v>
      </c>
      <c r="K135">
        <v>1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10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1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1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 s="5">
        <f>IF((ContinuousStatsTable[[#This Row],[RepsRequested]]&gt;1),ContinuousStatsTable[[#This Row],[HalfWidth]],ContinuousStatsTable[[#This Row],[BatchMeansHalfWidth]])</f>
        <v>0</v>
      </c>
    </row>
    <row r="136" spans="1:21" x14ac:dyDescent="0.35">
      <c r="A136" t="s">
        <v>66</v>
      </c>
      <c r="B136" t="s">
        <v>69</v>
      </c>
      <c r="C136">
        <v>9</v>
      </c>
      <c r="D136" t="s">
        <v>81</v>
      </c>
      <c r="E136" t="s">
        <v>83</v>
      </c>
      <c r="F136" t="s">
        <v>80</v>
      </c>
      <c r="G136">
        <v>0.100285455854392</v>
      </c>
      <c r="H136">
        <v>2E+20</v>
      </c>
      <c r="I136">
        <v>0</v>
      </c>
      <c r="J136">
        <v>2</v>
      </c>
      <c r="K136">
        <v>0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10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8.7958425850064206E-2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0.11156380554871401</v>
      </c>
      <c r="U136" s="5">
        <f>IF((ContinuousStatsTable[[#This Row],[RepsRequested]]&gt;1),ContinuousStatsTable[[#This Row],[HalfWidth]],ContinuousStatsTable[[#This Row],[BatchMeansHalfWidth]])</f>
        <v>4.9904349466243737E-3</v>
      </c>
    </row>
    <row r="137" spans="1:21" x14ac:dyDescent="0.35">
      <c r="A137" t="s">
        <v>66</v>
      </c>
      <c r="B137" t="s">
        <v>69</v>
      </c>
      <c r="C137">
        <v>10</v>
      </c>
      <c r="D137" t="s">
        <v>70</v>
      </c>
      <c r="E137" t="s">
        <v>82</v>
      </c>
      <c r="F137" t="s">
        <v>72</v>
      </c>
      <c r="G137">
        <v>4.8486936855709004</v>
      </c>
      <c r="H137">
        <v>9.08547076832565E-2</v>
      </c>
      <c r="I137">
        <v>0</v>
      </c>
      <c r="J137">
        <v>9</v>
      </c>
      <c r="K137">
        <v>5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ProjectByggsatsWIPEntity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10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4.831036287680659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3.7764247705829479E-2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2.7014915395151946E-2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4.7851917460602902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4.8974164543117702</v>
      </c>
      <c r="U137" s="5">
        <f>IF((ContinuousStatsTable[[#This Row],[RepsRequested]]&gt;1),ContinuousStatsTable[[#This Row],[HalfWidth]],ContinuousStatsTable[[#This Row],[BatchMeansHalfWidth]])</f>
        <v>2.7014915395151946E-2</v>
      </c>
    </row>
    <row r="138" spans="1:21" x14ac:dyDescent="0.35">
      <c r="A138" t="s">
        <v>66</v>
      </c>
      <c r="B138" t="s">
        <v>69</v>
      </c>
      <c r="C138">
        <v>10</v>
      </c>
      <c r="D138" t="s">
        <v>78</v>
      </c>
      <c r="E138" t="s">
        <v>83</v>
      </c>
      <c r="F138" t="s">
        <v>80</v>
      </c>
      <c r="G138">
        <v>3.0156353168278301E-2</v>
      </c>
      <c r="H138">
        <v>9.3413617667132201E-3</v>
      </c>
      <c r="I138">
        <v>0</v>
      </c>
      <c r="J138">
        <v>3</v>
      </c>
      <c r="K138">
        <v>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ProjectNy Montering.QueueNumber WaitingQueue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10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2.9721236155394359E-2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6.5871270693099206E-3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4.7121468395371572E-3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2.0225700754551199E-2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3.8204494131751601E-2</v>
      </c>
      <c r="U138" s="5">
        <f>IF((ContinuousStatsTable[[#This Row],[RepsRequested]]&gt;1),ContinuousStatsTable[[#This Row],[HalfWidth]],ContinuousStatsTable[[#This Row],[BatchMeansHalfWidth]])</f>
        <v>4.7121468395371572E-3</v>
      </c>
    </row>
    <row r="139" spans="1:21" x14ac:dyDescent="0.35">
      <c r="A139" t="s">
        <v>66</v>
      </c>
      <c r="B139" t="s">
        <v>69</v>
      </c>
      <c r="C139">
        <v>10</v>
      </c>
      <c r="D139" t="s">
        <v>84</v>
      </c>
      <c r="E139" t="s">
        <v>85</v>
      </c>
      <c r="F139" t="s">
        <v>86</v>
      </c>
      <c r="G139">
        <v>0.59746940997571296</v>
      </c>
      <c r="H139">
        <v>1.8140729385796601E-2</v>
      </c>
      <c r="I139">
        <v>0</v>
      </c>
      <c r="J139">
        <v>1</v>
      </c>
      <c r="K139">
        <v>1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ProjectOp1Instantaneous UtilizationResource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10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0.59561658015121266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8.1342721434722529E-3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5.8189077528776768E-3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0.58095472748131705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0.60761888382065699</v>
      </c>
      <c r="U139" s="5">
        <f>IF((ContinuousStatsTable[[#This Row],[RepsRequested]]&gt;1),ContinuousStatsTable[[#This Row],[HalfWidth]],ContinuousStatsTable[[#This Row],[BatchMeansHalfWidth]])</f>
        <v>5.8189077528776768E-3</v>
      </c>
    </row>
    <row r="140" spans="1:21" x14ac:dyDescent="0.35">
      <c r="A140" t="s">
        <v>66</v>
      </c>
      <c r="B140" t="s">
        <v>69</v>
      </c>
      <c r="C140">
        <v>10</v>
      </c>
      <c r="D140" t="s">
        <v>84</v>
      </c>
      <c r="E140" t="s">
        <v>87</v>
      </c>
      <c r="F140" t="s">
        <v>86</v>
      </c>
      <c r="G140">
        <v>1.1949388199514299</v>
      </c>
      <c r="H140">
        <v>3.6281458771593202E-2</v>
      </c>
      <c r="I140">
        <v>0</v>
      </c>
      <c r="J140">
        <v>2</v>
      </c>
      <c r="K140">
        <v>2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ProjectOp1Number BusyResource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10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1.1912331603024251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1.6268544286944082E-2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1.1637815505755052E-2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1.1619094549626301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1.21523776764131</v>
      </c>
      <c r="U140" s="5">
        <f>IF((ContinuousStatsTable[[#This Row],[RepsRequested]]&gt;1),ContinuousStatsTable[[#This Row],[HalfWidth]],ContinuousStatsTable[[#This Row],[BatchMeansHalfWidth]])</f>
        <v>1.1637815505755052E-2</v>
      </c>
    </row>
    <row r="141" spans="1:21" x14ac:dyDescent="0.35">
      <c r="A141" t="s">
        <v>66</v>
      </c>
      <c r="B141" t="s">
        <v>69</v>
      </c>
      <c r="C141">
        <v>10</v>
      </c>
      <c r="D141" t="s">
        <v>84</v>
      </c>
      <c r="E141" t="s">
        <v>88</v>
      </c>
      <c r="F141" t="s">
        <v>86</v>
      </c>
      <c r="G141">
        <v>2</v>
      </c>
      <c r="H141">
        <v>2E+20</v>
      </c>
      <c r="I141">
        <v>2</v>
      </c>
      <c r="J141">
        <v>2</v>
      </c>
      <c r="K141">
        <v>2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ProjectOp1Number ScheduledResource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10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2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2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2</v>
      </c>
      <c r="U141" s="5">
        <f>IF((ContinuousStatsTable[[#This Row],[RepsRequested]]&gt;1),ContinuousStatsTable[[#This Row],[HalfWidth]],ContinuousStatsTable[[#This Row],[BatchMeansHalfWidth]])</f>
        <v>0</v>
      </c>
    </row>
    <row r="142" spans="1:21" x14ac:dyDescent="0.35">
      <c r="A142" t="s">
        <v>66</v>
      </c>
      <c r="B142" t="s">
        <v>69</v>
      </c>
      <c r="C142">
        <v>10</v>
      </c>
      <c r="D142" t="s">
        <v>89</v>
      </c>
      <c r="E142" t="s">
        <v>85</v>
      </c>
      <c r="F142" t="s">
        <v>86</v>
      </c>
      <c r="G142">
        <v>0.80509912008322904</v>
      </c>
      <c r="H142">
        <v>1.0207517318317001E-2</v>
      </c>
      <c r="I142">
        <v>0</v>
      </c>
      <c r="J142">
        <v>1</v>
      </c>
      <c r="K142">
        <v>1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ProjectOp2Instantaneous UtilizationResource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10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0.79210128641287902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0.80913537591663398</v>
      </c>
      <c r="U142" s="5">
        <f>IF((ContinuousStatsTable[[#This Row],[RepsRequested]]&gt;1),ContinuousStatsTable[[#This Row],[HalfWidth]],ContinuousStatsTable[[#This Row],[BatchMeansHalfWidth]])</f>
        <v>3.6008298302422069E-3</v>
      </c>
    </row>
    <row r="143" spans="1:21" x14ac:dyDescent="0.35">
      <c r="A143" t="s">
        <v>66</v>
      </c>
      <c r="B143" t="s">
        <v>69</v>
      </c>
      <c r="C143">
        <v>10</v>
      </c>
      <c r="D143" t="s">
        <v>89</v>
      </c>
      <c r="E143" t="s">
        <v>87</v>
      </c>
      <c r="F143" t="s">
        <v>86</v>
      </c>
      <c r="G143">
        <v>0.80509912008322904</v>
      </c>
      <c r="H143">
        <v>1.0207517318317001E-2</v>
      </c>
      <c r="I143">
        <v>0</v>
      </c>
      <c r="J143">
        <v>1</v>
      </c>
      <c r="K143">
        <v>1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ProjectOp2Number BusyResource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10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0.80260519246045448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5.033613012173632E-3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3.6008298302422069E-3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0.79210128641287902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0.80913537591663398</v>
      </c>
      <c r="U143" s="5">
        <f>IF((ContinuousStatsTable[[#This Row],[RepsRequested]]&gt;1),ContinuousStatsTable[[#This Row],[HalfWidth]],ContinuousStatsTable[[#This Row],[BatchMeansHalfWidth]])</f>
        <v>3.6008298302422069E-3</v>
      </c>
    </row>
    <row r="144" spans="1:21" x14ac:dyDescent="0.35">
      <c r="A144" t="s">
        <v>66</v>
      </c>
      <c r="B144" t="s">
        <v>69</v>
      </c>
      <c r="C144">
        <v>10</v>
      </c>
      <c r="D144" t="s">
        <v>89</v>
      </c>
      <c r="E144" t="s">
        <v>88</v>
      </c>
      <c r="F144" t="s">
        <v>86</v>
      </c>
      <c r="G144">
        <v>1</v>
      </c>
      <c r="H144">
        <v>2E+20</v>
      </c>
      <c r="I144">
        <v>1</v>
      </c>
      <c r="J144">
        <v>1</v>
      </c>
      <c r="K144">
        <v>1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ProjectOp2Number ScheduledResource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10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1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1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 s="5">
        <f>IF((ContinuousStatsTable[[#This Row],[RepsRequested]]&gt;1),ContinuousStatsTable[[#This Row],[HalfWidth]],ContinuousStatsTable[[#This Row],[BatchMeansHalfWidth]])</f>
        <v>0</v>
      </c>
    </row>
    <row r="145" spans="1:21" x14ac:dyDescent="0.35">
      <c r="A145" t="s">
        <v>66</v>
      </c>
      <c r="B145" t="s">
        <v>69</v>
      </c>
      <c r="C145">
        <v>10</v>
      </c>
      <c r="D145" t="s">
        <v>90</v>
      </c>
      <c r="E145" t="s">
        <v>85</v>
      </c>
      <c r="F145" t="s">
        <v>86</v>
      </c>
      <c r="G145">
        <v>0.835591266164598</v>
      </c>
      <c r="H145">
        <v>1.08945180028065E-2</v>
      </c>
      <c r="I145">
        <v>0</v>
      </c>
      <c r="J145">
        <v>1</v>
      </c>
      <c r="K145">
        <v>0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ProjectOp3Instantaneous UtilizationResource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10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0.82778443412963498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0.835591266164598</v>
      </c>
      <c r="U145" s="5">
        <f>IF((ContinuousStatsTable[[#This Row],[RepsRequested]]&gt;1),ContinuousStatsTable[[#This Row],[HalfWidth]],ContinuousStatsTable[[#This Row],[BatchMeansHalfWidth]])</f>
        <v>1.9629860688117127E-3</v>
      </c>
    </row>
    <row r="146" spans="1:21" x14ac:dyDescent="0.35">
      <c r="A146" t="s">
        <v>66</v>
      </c>
      <c r="B146" t="s">
        <v>69</v>
      </c>
      <c r="C146">
        <v>10</v>
      </c>
      <c r="D146" t="s">
        <v>90</v>
      </c>
      <c r="E146" t="s">
        <v>87</v>
      </c>
      <c r="F146" t="s">
        <v>86</v>
      </c>
      <c r="G146">
        <v>0.835591266164598</v>
      </c>
      <c r="H146">
        <v>1.08945180028065E-2</v>
      </c>
      <c r="I146">
        <v>0</v>
      </c>
      <c r="J146">
        <v>1</v>
      </c>
      <c r="K146">
        <v>0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ProjectOp3Number BusyResource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10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0.83234137275869524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2.7440653084185238E-3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1.9629860688117127E-3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0.82778443412963498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0.835591266164598</v>
      </c>
      <c r="U146" s="5">
        <f>IF((ContinuousStatsTable[[#This Row],[RepsRequested]]&gt;1),ContinuousStatsTable[[#This Row],[HalfWidth]],ContinuousStatsTable[[#This Row],[BatchMeansHalfWidth]])</f>
        <v>1.9629860688117127E-3</v>
      </c>
    </row>
    <row r="147" spans="1:21" x14ac:dyDescent="0.35">
      <c r="A147" t="s">
        <v>66</v>
      </c>
      <c r="B147" t="s">
        <v>69</v>
      </c>
      <c r="C147">
        <v>10</v>
      </c>
      <c r="D147" t="s">
        <v>90</v>
      </c>
      <c r="E147" t="s">
        <v>88</v>
      </c>
      <c r="F147" t="s">
        <v>86</v>
      </c>
      <c r="G147">
        <v>1</v>
      </c>
      <c r="H147">
        <v>2E+20</v>
      </c>
      <c r="I147">
        <v>1</v>
      </c>
      <c r="J147">
        <v>1</v>
      </c>
      <c r="K147">
        <v>1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ProjectOp3Number ScheduledResource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10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1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1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1</v>
      </c>
      <c r="U147" s="5">
        <f>IF((ContinuousStatsTable[[#This Row],[RepsRequested]]&gt;1),ContinuousStatsTable[[#This Row],[HalfWidth]],ContinuousStatsTable[[#This Row],[BatchMeansHalfWidth]])</f>
        <v>0</v>
      </c>
    </row>
    <row r="148" spans="1:21" x14ac:dyDescent="0.35">
      <c r="A148" t="s">
        <v>66</v>
      </c>
      <c r="B148" t="s">
        <v>69</v>
      </c>
      <c r="C148">
        <v>10</v>
      </c>
      <c r="D148" t="s">
        <v>91</v>
      </c>
      <c r="E148" t="s">
        <v>85</v>
      </c>
      <c r="F148" t="s">
        <v>86</v>
      </c>
      <c r="G148">
        <v>0.83494662299400701</v>
      </c>
      <c r="H148">
        <v>1.08179486895534E-2</v>
      </c>
      <c r="I148">
        <v>0</v>
      </c>
      <c r="J148">
        <v>1</v>
      </c>
      <c r="K148">
        <v>1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ProjectOp4Instantaneous UtilizationResource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10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0.82692860079846797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0.83908808891262199</v>
      </c>
      <c r="U148" s="5">
        <f>IF((ContinuousStatsTable[[#This Row],[RepsRequested]]&gt;1),ContinuousStatsTable[[#This Row],[HalfWidth]],ContinuousStatsTable[[#This Row],[BatchMeansHalfWidth]])</f>
        <v>2.9431012365895297E-3</v>
      </c>
    </row>
    <row r="149" spans="1:21" x14ac:dyDescent="0.35">
      <c r="A149" t="s">
        <v>66</v>
      </c>
      <c r="B149" t="s">
        <v>69</v>
      </c>
      <c r="C149">
        <v>10</v>
      </c>
      <c r="D149" t="s">
        <v>91</v>
      </c>
      <c r="E149" t="s">
        <v>87</v>
      </c>
      <c r="F149" t="s">
        <v>86</v>
      </c>
      <c r="G149">
        <v>0.83494662299400701</v>
      </c>
      <c r="H149">
        <v>1.08179486895534E-2</v>
      </c>
      <c r="I149">
        <v>0</v>
      </c>
      <c r="J149">
        <v>1</v>
      </c>
      <c r="K149">
        <v>1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ProjectOp4Number BusyResource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10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0.83254124414775088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4.1141718378968446E-3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2.9431012365895297E-3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0.82692860079846797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0.83908808891262199</v>
      </c>
      <c r="U149" s="5">
        <f>IF((ContinuousStatsTable[[#This Row],[RepsRequested]]&gt;1),ContinuousStatsTable[[#This Row],[HalfWidth]],ContinuousStatsTable[[#This Row],[BatchMeansHalfWidth]])</f>
        <v>2.9431012365895297E-3</v>
      </c>
    </row>
    <row r="150" spans="1:21" x14ac:dyDescent="0.35">
      <c r="A150" t="s">
        <v>66</v>
      </c>
      <c r="B150" t="s">
        <v>69</v>
      </c>
      <c r="C150">
        <v>10</v>
      </c>
      <c r="D150" t="s">
        <v>91</v>
      </c>
      <c r="E150" t="s">
        <v>88</v>
      </c>
      <c r="F150" t="s">
        <v>86</v>
      </c>
      <c r="G150">
        <v>1</v>
      </c>
      <c r="H150">
        <v>2E+20</v>
      </c>
      <c r="I150">
        <v>1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ProjectOp4Number ScheduledResource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10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1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1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0</v>
      </c>
    </row>
    <row r="151" spans="1:21" x14ac:dyDescent="0.35">
      <c r="A151" t="s">
        <v>66</v>
      </c>
      <c r="B151" t="s">
        <v>69</v>
      </c>
      <c r="C151">
        <v>10</v>
      </c>
      <c r="D151" t="s">
        <v>81</v>
      </c>
      <c r="E151" t="s">
        <v>83</v>
      </c>
      <c r="F151" t="s">
        <v>80</v>
      </c>
      <c r="G151">
        <v>0.10833437711697801</v>
      </c>
      <c r="H151">
        <v>2E+20</v>
      </c>
      <c r="I151">
        <v>0</v>
      </c>
      <c r="J151">
        <v>2</v>
      </c>
      <c r="K151">
        <v>0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ProjectReparation.QueueNumber WaitingQueue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10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0.10321622037012448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6.9761470183234966E-3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4.9904349466243737E-3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8.7958425850064206E-2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0.11156380554871401</v>
      </c>
      <c r="U151" s="5">
        <f>IF((ContinuousStatsTable[[#This Row],[RepsRequested]]&gt;1),ContinuousStatsTable[[#This Row],[HalfWidth]],ContinuousStatsTable[[#This Row],[BatchMeansHalfWidth]])</f>
        <v>4.9904349466243737E-3</v>
      </c>
    </row>
  </sheetData>
  <phoneticPr fontId="2" type="noConversion"/>
  <conditionalFormatting sqref="H2:H151">
    <cfRule type="expression" dxfId="11" priority="9">
      <formula>H2=200000000000000000000</formula>
    </cfRule>
  </conditionalFormatting>
  <conditionalFormatting sqref="H2:H151">
    <cfRule type="expression" dxfId="10" priority="7">
      <formula>H2=300000000000000000000</formula>
    </cfRule>
  </conditionalFormatting>
  <conditionalFormatting sqref="M2:U151">
    <cfRule type="expression" dxfId="9" priority="5">
      <formula>MOD(ROW(),2)=0</formula>
    </cfRule>
  </conditionalFormatting>
  <conditionalFormatting sqref="U2:U15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51 U2:U15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2" bestFit="1" customWidth="1"/>
    <col min="5" max="5" width="18.36328125" bestFit="1" customWidth="1"/>
    <col min="6" max="6" width="12.54296875" bestFit="1" customWidth="1"/>
    <col min="7" max="7" width="15.81640625" bestFit="1" customWidth="1"/>
    <col min="8" max="8" width="11.1796875" bestFit="1" customWidth="1"/>
    <col min="9" max="9" width="62.2695312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92</v>
      </c>
      <c r="E2" t="s">
        <v>93</v>
      </c>
      <c r="F2" t="s">
        <v>72</v>
      </c>
      <c r="G2">
        <v>3517</v>
      </c>
      <c r="H2">
        <v>0</v>
      </c>
      <c r="I2" t="str">
        <f>OutputTable[[#This Row],[ProjectName]]&amp;OutputTable[[#This Row],[Name]]&amp;OutputTable[[#This Row],[Type]]&amp;OutputTable[[#This Row],[Source]]</f>
        <v>Unnamed ProjectByggsats.NumberInNumber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10</v>
      </c>
      <c r="K2" cm="1">
        <f t="array" ref="K2">IFERROR(AVERAGE(IF((OutputTable[GroupByKey]=OutputTable[[#This Row],[GroupByKey]]),(OutputTable[GroupByKey]=OutputTable[[#This Row],[GroupByKey]])*OutputTable[RecordedValue])),0)</f>
        <v>3523.8</v>
      </c>
      <c r="L2" cm="1">
        <f t="array" ref="L2">IFERROR(_xlfn.STDEV.S(IF((OutputTable[GroupByKey]=OutputTable[[#This Row],[GroupByKey]]),(OutputTable[GroupByKey]=OutputTable[[#This Row],[GroupByKey]])*OutputTable[RecordedValue])),0)</f>
        <v>12.35403667722507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2" cm="1">
        <f t="array" ref="O2">MIN(IF((OutputTable[GroupByKey]=OutputTable[[#This Row],[GroupByKey]]),(OutputTable[GroupByKey]=OutputTable[[#This Row],[GroupByKey]])*OutputTable[RecordedValue]))</f>
        <v>3509</v>
      </c>
      <c r="P2" cm="1">
        <f t="array" ref="P2">MAX(IF((OutputTable[GroupByKey]=OutputTable[[#This Row],[GroupByKey]]),(OutputTable[GroupByKey]=OutputTable[[#This Row],[GroupByKey]])*OutputTable[RecordedValue]))</f>
        <v>3543</v>
      </c>
    </row>
    <row r="3" spans="1:16" x14ac:dyDescent="0.35">
      <c r="A3" t="s">
        <v>66</v>
      </c>
      <c r="B3" t="s">
        <v>69</v>
      </c>
      <c r="C3">
        <v>1</v>
      </c>
      <c r="D3" t="s">
        <v>94</v>
      </c>
      <c r="E3" t="s">
        <v>95</v>
      </c>
      <c r="F3" t="s">
        <v>72</v>
      </c>
      <c r="G3">
        <v>3513</v>
      </c>
      <c r="H3">
        <v>0</v>
      </c>
      <c r="I3" t="str">
        <f>OutputTable[[#This Row],[ProjectName]]&amp;OutputTable[[#This Row],[Name]]&amp;OutputTable[[#This Row],[Type]]&amp;OutputTable[[#This Row],[Source]]</f>
        <v>Unnamed ProjectByggsats.NumberOutNumber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10</v>
      </c>
      <c r="K3" cm="1">
        <f t="array" ref="K3">IFERROR(AVERAGE(IF((OutputTable[GroupByKey]=OutputTable[[#This Row],[GroupByKey]]),(OutputTable[GroupByKey]=OutputTable[[#This Row],[GroupByKey]])*OutputTable[RecordedValue])),0)</f>
        <v>3519.3</v>
      </c>
      <c r="L3" cm="1">
        <f t="array" ref="L3">IFERROR(_xlfn.STDEV.S(IF((OutputTable[GroupByKey]=OutputTable[[#This Row],[GroupByKey]]),(OutputTable[GroupByKey]=OutputTable[[#This Row],[GroupByKey]])*OutputTable[RecordedValue])),0)</f>
        <v>12.596736790843009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3" cm="1">
        <f t="array" ref="O3">MIN(IF((OutputTable[GroupByKey]=OutputTable[[#This Row],[GroupByKey]]),(OutputTable[GroupByKey]=OutputTable[[#This Row],[GroupByKey]])*OutputTable[RecordedValue]))</f>
        <v>3504</v>
      </c>
      <c r="P3" cm="1">
        <f t="array" ref="P3">MAX(IF((OutputTable[GroupByKey]=OutputTable[[#This Row],[GroupByKey]]),(OutputTable[GroupByKey]=OutputTable[[#This Row],[GroupByKey]])*OutputTable[RecordedValue]))</f>
        <v>3539</v>
      </c>
    </row>
    <row r="4" spans="1:16" x14ac:dyDescent="0.35">
      <c r="A4" t="s">
        <v>66</v>
      </c>
      <c r="B4" t="s">
        <v>69</v>
      </c>
      <c r="C4">
        <v>1</v>
      </c>
      <c r="D4" t="s">
        <v>96</v>
      </c>
      <c r="E4" t="s">
        <v>97</v>
      </c>
      <c r="F4" t="s">
        <v>86</v>
      </c>
      <c r="G4">
        <v>1325</v>
      </c>
      <c r="H4">
        <v>0</v>
      </c>
      <c r="I4" t="str">
        <f>OutputTable[[#This Row],[ProjectName]]&amp;OutputTable[[#This Row],[Name]]&amp;OutputTable[[#This Row],[Type]]&amp;OutputTable[[#This Row],[Source]]</f>
        <v>Unnamed ProjectOp1.NumberSeizedTotal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10</v>
      </c>
      <c r="K4" cm="1">
        <f t="array" ref="K4">IFERROR(AVERAGE(IF((OutputTable[GroupByKey]=OutputTable[[#This Row],[GroupByKey]]),(OutputTable[GroupByKey]=OutputTable[[#This Row],[GroupByKey]])*OutputTable[RecordedValue])),0)</f>
        <v>1322.1</v>
      </c>
      <c r="L4" cm="1">
        <f t="array" ref="L4">IFERROR(_xlfn.STDEV.S(IF((OutputTable[GroupByKey]=OutputTable[[#This Row],[GroupByKey]]),(OutputTable[GroupByKey]=OutputTable[[#This Row],[GroupByKey]])*OutputTable[RecordedValue])),0)</f>
        <v>16.434719346554107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4" cm="1">
        <f t="array" ref="O4">MIN(IF((OutputTable[GroupByKey]=OutputTable[[#This Row],[GroupByKey]]),(OutputTable[GroupByKey]=OutputTable[[#This Row],[GroupByKey]])*OutputTable[RecordedValue]))</f>
        <v>1291</v>
      </c>
      <c r="P4" cm="1">
        <f t="array" ref="P4">MAX(IF((OutputTable[GroupByKey]=OutputTable[[#This Row],[GroupByKey]]),(OutputTable[GroupByKey]=OutputTable[[#This Row],[GroupByKey]])*OutputTable[RecordedValue]))</f>
        <v>1345</v>
      </c>
    </row>
    <row r="5" spans="1:16" x14ac:dyDescent="0.35">
      <c r="A5" t="s">
        <v>66</v>
      </c>
      <c r="B5" t="s">
        <v>69</v>
      </c>
      <c r="C5">
        <v>1</v>
      </c>
      <c r="D5" t="s">
        <v>98</v>
      </c>
      <c r="E5" t="s">
        <v>99</v>
      </c>
      <c r="F5" t="s">
        <v>86</v>
      </c>
      <c r="G5">
        <v>0.59620888008069395</v>
      </c>
      <c r="H5">
        <v>0</v>
      </c>
      <c r="I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10</v>
      </c>
      <c r="K5" cm="1">
        <f t="array" ref="K5">IFERROR(AVERAGE(IF((OutputTable[GroupByKey]=OutputTable[[#This Row],[GroupByKey]]),(OutputTable[GroupByKey]=OutputTable[[#This Row],[GroupByKey]])*OutputTable[RecordedValue])),0)</f>
        <v>0.59561658015121266</v>
      </c>
      <c r="L5" cm="1">
        <f t="array" ref="L5">IFERROR(_xlfn.STDEV.S(IF((OutputTable[GroupByKey]=OutputTable[[#This Row],[GroupByKey]]),(OutputTable[GroupByKey]=OutputTable[[#This Row],[GroupByKey]])*OutputTable[RecordedValue])),0)</f>
        <v>8.1342721434722529E-3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5" cm="1">
        <f t="array" ref="O5">MIN(IF((OutputTable[GroupByKey]=OutputTable[[#This Row],[GroupByKey]]),(OutputTable[GroupByKey]=OutputTable[[#This Row],[GroupByKey]])*OutputTable[RecordedValue]))</f>
        <v>0.58095472748131705</v>
      </c>
      <c r="P5" cm="1">
        <f t="array" ref="P5">MAX(IF((OutputTable[GroupByKey]=OutputTable[[#This Row],[GroupByKey]]),(OutputTable[GroupByKey]=OutputTable[[#This Row],[GroupByKey]])*OutputTable[RecordedValue]))</f>
        <v>0.60761888382065699</v>
      </c>
    </row>
    <row r="6" spans="1:16" x14ac:dyDescent="0.35">
      <c r="A6" t="s">
        <v>66</v>
      </c>
      <c r="B6" t="s">
        <v>69</v>
      </c>
      <c r="C6">
        <v>1</v>
      </c>
      <c r="D6" t="s">
        <v>100</v>
      </c>
      <c r="E6" t="s">
        <v>97</v>
      </c>
      <c r="F6" t="s">
        <v>86</v>
      </c>
      <c r="G6">
        <v>824</v>
      </c>
      <c r="H6">
        <v>0</v>
      </c>
      <c r="I6" t="str">
        <f>OutputTable[[#This Row],[ProjectName]]&amp;OutputTable[[#This Row],[Name]]&amp;OutputTable[[#This Row],[Type]]&amp;OutputTable[[#This Row],[Source]]</f>
        <v>Unnamed ProjectOp2.NumberSeizedTotal Number SeizedResource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10</v>
      </c>
      <c r="K6" cm="1">
        <f t="array" ref="K6">IFERROR(AVERAGE(IF((OutputTable[GroupByKey]=OutputTable[[#This Row],[GroupByKey]]),(OutputTable[GroupByKey]=OutputTable[[#This Row],[GroupByKey]])*OutputTable[RecordedValue])),0)</f>
        <v>829.4</v>
      </c>
      <c r="L6" cm="1">
        <f t="array" ref="L6">IFERROR(_xlfn.STDEV.S(IF((OutputTable[GroupByKey]=OutputTable[[#This Row],[GroupByKey]]),(OutputTable[GroupByKey]=OutputTable[[#This Row],[GroupByKey]])*OutputTable[RecordedValue])),0)</f>
        <v>4.2739521132865619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6" cm="1">
        <f t="array" ref="O6">MIN(IF((OutputTable[GroupByKey]=OutputTable[[#This Row],[GroupByKey]]),(OutputTable[GroupByKey]=OutputTable[[#This Row],[GroupByKey]])*OutputTable[RecordedValue]))</f>
        <v>824</v>
      </c>
      <c r="P6" cm="1">
        <f t="array" ref="P6">MAX(IF((OutputTable[GroupByKey]=OutputTable[[#This Row],[GroupByKey]]),(OutputTable[GroupByKey]=OutputTable[[#This Row],[GroupByKey]])*OutputTable[RecordedValue]))</f>
        <v>836</v>
      </c>
    </row>
    <row r="7" spans="1:16" x14ac:dyDescent="0.35">
      <c r="A7" t="s">
        <v>66</v>
      </c>
      <c r="B7" t="s">
        <v>69</v>
      </c>
      <c r="C7">
        <v>1</v>
      </c>
      <c r="D7" t="s">
        <v>101</v>
      </c>
      <c r="E7" t="s">
        <v>99</v>
      </c>
      <c r="F7" t="s">
        <v>86</v>
      </c>
      <c r="G7">
        <v>0.799831472781113</v>
      </c>
      <c r="H7">
        <v>0</v>
      </c>
      <c r="I7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10</v>
      </c>
      <c r="K7" cm="1">
        <f t="array" ref="K7">IFERROR(AVERAGE(IF((OutputTable[GroupByKey]=OutputTable[[#This Row],[GroupByKey]]),(OutputTable[GroupByKey]=OutputTable[[#This Row],[GroupByKey]])*OutputTable[RecordedValue])),0)</f>
        <v>0.80260519246045448</v>
      </c>
      <c r="L7" cm="1">
        <f t="array" ref="L7">IFERROR(_xlfn.STDEV.S(IF((OutputTable[GroupByKey]=OutputTable[[#This Row],[GroupByKey]]),(OutputTable[GroupByKey]=OutputTable[[#This Row],[GroupByKey]])*OutputTable[RecordedValue])),0)</f>
        <v>5.033613012173632E-3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7" cm="1">
        <f t="array" ref="O7">MIN(IF((OutputTable[GroupByKey]=OutputTable[[#This Row],[GroupByKey]]),(OutputTable[GroupByKey]=OutputTable[[#This Row],[GroupByKey]])*OutputTable[RecordedValue]))</f>
        <v>0.79210128641287902</v>
      </c>
      <c r="P7" cm="1">
        <f t="array" ref="P7">MAX(IF((OutputTable[GroupByKey]=OutputTable[[#This Row],[GroupByKey]]),(OutputTable[GroupByKey]=OutputTable[[#This Row],[GroupByKey]])*OutputTable[RecordedValue]))</f>
        <v>0.80913537591663398</v>
      </c>
    </row>
    <row r="8" spans="1:16" x14ac:dyDescent="0.35">
      <c r="A8" t="s">
        <v>66</v>
      </c>
      <c r="B8" t="s">
        <v>69</v>
      </c>
      <c r="C8">
        <v>1</v>
      </c>
      <c r="D8" t="s">
        <v>102</v>
      </c>
      <c r="E8" t="s">
        <v>97</v>
      </c>
      <c r="F8" t="s">
        <v>86</v>
      </c>
      <c r="G8">
        <v>812</v>
      </c>
      <c r="H8">
        <v>0</v>
      </c>
      <c r="I8" t="str">
        <f>OutputTable[[#This Row],[ProjectName]]&amp;OutputTable[[#This Row],[Name]]&amp;OutputTable[[#This Row],[Type]]&amp;OutputTable[[#This Row],[Source]]</f>
        <v>Unnamed ProjectOp3.NumberSeizedTotal Number SeizedResource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10</v>
      </c>
      <c r="K8" cm="1">
        <f t="array" ref="K8">IFERROR(AVERAGE(IF((OutputTable[GroupByKey]=OutputTable[[#This Row],[GroupByKey]]),(OutputTable[GroupByKey]=OutputTable[[#This Row],[GroupByKey]])*OutputTable[RecordedValue])),0)</f>
        <v>815.3</v>
      </c>
      <c r="L8" cm="1">
        <f t="array" ref="L8">IFERROR(_xlfn.STDEV.S(IF((OutputTable[GroupByKey]=OutputTable[[#This Row],[GroupByKey]]),(OutputTable[GroupByKey]=OutputTable[[#This Row],[GroupByKey]])*OutputTable[RecordedValue])),0)</f>
        <v>2.5841396591085743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8" cm="1">
        <f t="array" ref="O8">MIN(IF((OutputTable[GroupByKey]=OutputTable[[#This Row],[GroupByKey]]),(OutputTable[GroupByKey]=OutputTable[[#This Row],[GroupByKey]])*OutputTable[RecordedValue]))</f>
        <v>812</v>
      </c>
      <c r="P8" cm="1">
        <f t="array" ref="P8">MAX(IF((OutputTable[GroupByKey]=OutputTable[[#This Row],[GroupByKey]]),(OutputTable[GroupByKey]=OutputTable[[#This Row],[GroupByKey]])*OutputTable[RecordedValue]))</f>
        <v>820</v>
      </c>
    </row>
    <row r="9" spans="1:16" x14ac:dyDescent="0.35">
      <c r="A9" t="s">
        <v>66</v>
      </c>
      <c r="B9" t="s">
        <v>69</v>
      </c>
      <c r="C9">
        <v>1</v>
      </c>
      <c r="D9" t="s">
        <v>103</v>
      </c>
      <c r="E9" t="s">
        <v>99</v>
      </c>
      <c r="F9" t="s">
        <v>86</v>
      </c>
      <c r="G9">
        <v>0.83110931714036895</v>
      </c>
      <c r="H9">
        <v>0</v>
      </c>
      <c r="I9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10</v>
      </c>
      <c r="K9" cm="1">
        <f t="array" ref="K9">IFERROR(AVERAGE(IF((OutputTable[GroupByKey]=OutputTable[[#This Row],[GroupByKey]]),(OutputTable[GroupByKey]=OutputTable[[#This Row],[GroupByKey]])*OutputTable[RecordedValue])),0)</f>
        <v>0.83234137275869524</v>
      </c>
      <c r="L9" cm="1">
        <f t="array" ref="L9">IFERROR(_xlfn.STDEV.S(IF((OutputTable[GroupByKey]=OutputTable[[#This Row],[GroupByKey]]),(OutputTable[GroupByKey]=OutputTable[[#This Row],[GroupByKey]])*OutputTable[RecordedValue])),0)</f>
        <v>2.7440653084185238E-3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9" cm="1">
        <f t="array" ref="O9">MIN(IF((OutputTable[GroupByKey]=OutputTable[[#This Row],[GroupByKey]]),(OutputTable[GroupByKey]=OutputTable[[#This Row],[GroupByKey]])*OutputTable[RecordedValue]))</f>
        <v>0.82778443412963498</v>
      </c>
      <c r="P9" cm="1">
        <f t="array" ref="P9">MAX(IF((OutputTable[GroupByKey]=OutputTable[[#This Row],[GroupByKey]]),(OutputTable[GroupByKey]=OutputTable[[#This Row],[GroupByKey]])*OutputTable[RecordedValue]))</f>
        <v>0.835591266164598</v>
      </c>
    </row>
    <row r="10" spans="1:16" x14ac:dyDescent="0.35">
      <c r="A10" t="s">
        <v>66</v>
      </c>
      <c r="B10" t="s">
        <v>69</v>
      </c>
      <c r="C10">
        <v>1</v>
      </c>
      <c r="D10" t="s">
        <v>104</v>
      </c>
      <c r="E10" t="s">
        <v>97</v>
      </c>
      <c r="F10" t="s">
        <v>86</v>
      </c>
      <c r="G10">
        <v>815</v>
      </c>
      <c r="H10">
        <v>0</v>
      </c>
      <c r="I10" t="str">
        <f>OutputTable[[#This Row],[ProjectName]]&amp;OutputTable[[#This Row],[Name]]&amp;OutputTable[[#This Row],[Type]]&amp;OutputTable[[#This Row],[Source]]</f>
        <v>Unnamed ProjectOp4.NumberSeizedTotal Number SeizedResource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10</v>
      </c>
      <c r="K10" cm="1">
        <f t="array" ref="K10">IFERROR(AVERAGE(IF((OutputTable[GroupByKey]=OutputTable[[#This Row],[GroupByKey]]),(OutputTable[GroupByKey]=OutputTable[[#This Row],[GroupByKey]])*OutputTable[RecordedValue])),0)</f>
        <v>815.5</v>
      </c>
      <c r="L10" cm="1">
        <f t="array" ref="L10">IFERROR(_xlfn.STDEV.S(IF((OutputTable[GroupByKey]=OutputTable[[#This Row],[GroupByKey]]),(OutputTable[GroupByKey]=OutputTable[[#This Row],[GroupByKey]])*OutputTable[RecordedValue])),0)</f>
        <v>3.6590830666833583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10" cm="1">
        <f t="array" ref="O10">MIN(IF((OutputTable[GroupByKey]=OutputTable[[#This Row],[GroupByKey]]),(OutputTable[GroupByKey]=OutputTable[[#This Row],[GroupByKey]])*OutputTable[RecordedValue]))</f>
        <v>811</v>
      </c>
      <c r="P10" cm="1">
        <f t="array" ref="P10">MAX(IF((OutputTable[GroupByKey]=OutputTable[[#This Row],[GroupByKey]]),(OutputTable[GroupByKey]=OutputTable[[#This Row],[GroupByKey]])*OutputTable[RecordedValue]))</f>
        <v>822</v>
      </c>
    </row>
    <row r="11" spans="1:16" x14ac:dyDescent="0.35">
      <c r="A11" t="s">
        <v>66</v>
      </c>
      <c r="B11" t="s">
        <v>69</v>
      </c>
      <c r="C11">
        <v>1</v>
      </c>
      <c r="D11" t="s">
        <v>105</v>
      </c>
      <c r="E11" t="s">
        <v>99</v>
      </c>
      <c r="F11" t="s">
        <v>86</v>
      </c>
      <c r="G11">
        <v>0.83225506041071495</v>
      </c>
      <c r="H11">
        <v>0</v>
      </c>
      <c r="I11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10</v>
      </c>
      <c r="K11" cm="1">
        <f t="array" ref="K11">IFERROR(AVERAGE(IF((OutputTable[GroupByKey]=OutputTable[[#This Row],[GroupByKey]]),(OutputTable[GroupByKey]=OutputTable[[#This Row],[GroupByKey]])*OutputTable[RecordedValue])),0)</f>
        <v>0.83254124414775088</v>
      </c>
      <c r="L11" cm="1">
        <f t="array" ref="L11">IFERROR(_xlfn.STDEV.S(IF((OutputTable[GroupByKey]=OutputTable[[#This Row],[GroupByKey]]),(OutputTable[GroupByKey]=OutputTable[[#This Row],[GroupByKey]])*OutputTable[RecordedValue])),0)</f>
        <v>4.1141718378968446E-3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11" cm="1">
        <f t="array" ref="O11">MIN(IF((OutputTable[GroupByKey]=OutputTable[[#This Row],[GroupByKey]]),(OutputTable[GroupByKey]=OutputTable[[#This Row],[GroupByKey]])*OutputTable[RecordedValue]))</f>
        <v>0.82692860079846797</v>
      </c>
      <c r="P11" cm="1">
        <f t="array" ref="P11">MAX(IF((OutputTable[GroupByKey]=OutputTable[[#This Row],[GroupByKey]]),(OutputTable[GroupByKey]=OutputTable[[#This Row],[GroupByKey]])*OutputTable[RecordedValue]))</f>
        <v>0.83908808891262199</v>
      </c>
    </row>
    <row r="12" spans="1:16" x14ac:dyDescent="0.35">
      <c r="A12" t="s">
        <v>66</v>
      </c>
      <c r="B12" t="s">
        <v>69</v>
      </c>
      <c r="C12">
        <v>1</v>
      </c>
      <c r="D12" t="s">
        <v>106</v>
      </c>
      <c r="E12" t="s">
        <v>95</v>
      </c>
      <c r="F12" t="s">
        <v>107</v>
      </c>
      <c r="G12">
        <v>3513</v>
      </c>
      <c r="H12">
        <v>0</v>
      </c>
      <c r="I12" t="str">
        <f>OutputTable[[#This Row],[ProjectName]]&amp;OutputTable[[#This Row],[Name]]&amp;OutputTable[[#This Row],[Type]]&amp;OutputTable[[#This Row],[Source]]</f>
        <v>Unnamed ProjectSystem.NumberOutNumber OutSystem</v>
      </c>
      <c r="J12" cm="1">
        <f t="array" ref="J12">MAX(IF((ProjectInfoTable[ProjectName]=OutputTable[[#This Row],[ProjectName]]),(ProjectInfoTable[ProjectName]=OutputTable[[#This Row],[ProjectName]])*ProjectInfoTable[NumberOfReplications]))</f>
        <v>10</v>
      </c>
      <c r="K12" cm="1">
        <f t="array" ref="K12">IFERROR(AVERAGE(IF((OutputTable[GroupByKey]=OutputTable[[#This Row],[GroupByKey]]),(OutputTable[GroupByKey]=OutputTable[[#This Row],[GroupByKey]])*OutputTable[RecordedValue])),0)</f>
        <v>3519.3</v>
      </c>
      <c r="L12" cm="1">
        <f t="array" ref="L12">IFERROR(_xlfn.STDEV.S(IF((OutputTable[GroupByKey]=OutputTable[[#This Row],[GroupByKey]]),(OutputTable[GroupByKey]=OutputTable[[#This Row],[GroupByKey]])*OutputTable[RecordedValue])),0)</f>
        <v>12.596736790843009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12" cm="1">
        <f t="array" ref="O12">MIN(IF((OutputTable[GroupByKey]=OutputTable[[#This Row],[GroupByKey]]),(OutputTable[GroupByKey]=OutputTable[[#This Row],[GroupByKey]])*OutputTable[RecordedValue]))</f>
        <v>3504</v>
      </c>
      <c r="P12" cm="1">
        <f t="array" ref="P12">MAX(IF((OutputTable[GroupByKey]=OutputTable[[#This Row],[GroupByKey]]),(OutputTable[GroupByKey]=OutputTable[[#This Row],[GroupByKey]])*OutputTable[RecordedValue]))</f>
        <v>3539</v>
      </c>
    </row>
    <row r="13" spans="1:16" x14ac:dyDescent="0.35">
      <c r="A13" t="s">
        <v>66</v>
      </c>
      <c r="B13" t="s">
        <v>69</v>
      </c>
      <c r="C13">
        <v>1</v>
      </c>
      <c r="D13" t="s">
        <v>108</v>
      </c>
      <c r="E13" t="s">
        <v>109</v>
      </c>
      <c r="F13" t="s">
        <v>110</v>
      </c>
      <c r="G13">
        <v>6</v>
      </c>
      <c r="H13">
        <v>0</v>
      </c>
      <c r="I13" t="str">
        <f>OutputTable[[#This Row],[ProjectName]]&amp;OutputTable[[#This Row],[Name]]&amp;OutputTable[[#This Row],[Type]]&amp;OutputTable[[#This Row],[Source]]</f>
        <v>Unnamed ProjecttidiSystemetOutputUser Specified</v>
      </c>
      <c r="J13" cm="1">
        <f t="array" ref="J13">MAX(IF((ProjectInfoTable[ProjectName]=OutputTable[[#This Row],[ProjectName]]),(ProjectInfoTable[ProjectName]=OutputTable[[#This Row],[ProjectName]])*ProjectInfoTable[NumberOfReplications]))</f>
        <v>10</v>
      </c>
      <c r="K13" cm="1">
        <f t="array" ref="K13">IFERROR(AVERAGE(IF((OutputTable[GroupByKey]=OutputTable[[#This Row],[GroupByKey]]),(OutputTable[GroupByKey]=OutputTable[[#This Row],[GroupByKey]])*OutputTable[RecordedValue])),0)</f>
        <v>6</v>
      </c>
      <c r="L13" cm="1">
        <f t="array" ref="L13">IFERROR(_xlfn.STDEV.S(IF((OutputTable[GroupByKey]=OutputTable[[#This Row],[GroupByKey]]),(OutputTable[GroupByKey]=OutputTable[[#This Row],[GroupByKey]])*OutputTable[RecordedValue])),0)</f>
        <v>0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3" cm="1">
        <f t="array" ref="O13">MIN(IF((OutputTable[GroupByKey]=OutputTable[[#This Row],[GroupByKey]]),(OutputTable[GroupByKey]=OutputTable[[#This Row],[GroupByKey]])*OutputTable[RecordedValue]))</f>
        <v>6</v>
      </c>
      <c r="P13" cm="1">
        <f t="array" ref="P13">MAX(IF((OutputTable[GroupByKey]=OutputTable[[#This Row],[GroupByKey]]),(OutputTable[GroupByKey]=OutputTable[[#This Row],[GroupByKey]])*OutputTable[RecordedValue]))</f>
        <v>6</v>
      </c>
    </row>
    <row r="14" spans="1:16" x14ac:dyDescent="0.35">
      <c r="A14" t="s">
        <v>66</v>
      </c>
      <c r="B14" t="s">
        <v>69</v>
      </c>
      <c r="C14">
        <v>2</v>
      </c>
      <c r="D14" t="s">
        <v>92</v>
      </c>
      <c r="E14" t="s">
        <v>93</v>
      </c>
      <c r="F14" t="s">
        <v>72</v>
      </c>
      <c r="G14">
        <v>3512</v>
      </c>
      <c r="H14">
        <v>0</v>
      </c>
      <c r="I14" t="str">
        <f>OutputTable[[#This Row],[ProjectName]]&amp;OutputTable[[#This Row],[Name]]&amp;OutputTable[[#This Row],[Type]]&amp;OutputTable[[#This Row],[Source]]</f>
        <v>Unnamed ProjectByggsats.NumberInNumber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10</v>
      </c>
      <c r="K14" cm="1">
        <f t="array" ref="K14">IFERROR(AVERAGE(IF((OutputTable[GroupByKey]=OutputTable[[#This Row],[GroupByKey]]),(OutputTable[GroupByKey]=OutputTable[[#This Row],[GroupByKey]])*OutputTable[RecordedValue])),0)</f>
        <v>3523.8</v>
      </c>
      <c r="L14" cm="1">
        <f t="array" ref="L14">IFERROR(_xlfn.STDEV.S(IF((OutputTable[GroupByKey]=OutputTable[[#This Row],[GroupByKey]]),(OutputTable[GroupByKey]=OutputTable[[#This Row],[GroupByKey]])*OutputTable[RecordedValue])),0)</f>
        <v>12.35403667722507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14" cm="1">
        <f t="array" ref="O14">MIN(IF((OutputTable[GroupByKey]=OutputTable[[#This Row],[GroupByKey]]),(OutputTable[GroupByKey]=OutputTable[[#This Row],[GroupByKey]])*OutputTable[RecordedValue]))</f>
        <v>3509</v>
      </c>
      <c r="P14" cm="1">
        <f t="array" ref="P14">MAX(IF((OutputTable[GroupByKey]=OutputTable[[#This Row],[GroupByKey]]),(OutputTable[GroupByKey]=OutputTable[[#This Row],[GroupByKey]])*OutputTable[RecordedValue]))</f>
        <v>3543</v>
      </c>
    </row>
    <row r="15" spans="1:16" x14ac:dyDescent="0.35">
      <c r="A15" t="s">
        <v>66</v>
      </c>
      <c r="B15" t="s">
        <v>69</v>
      </c>
      <c r="C15">
        <v>2</v>
      </c>
      <c r="D15" t="s">
        <v>94</v>
      </c>
      <c r="E15" t="s">
        <v>95</v>
      </c>
      <c r="F15" t="s">
        <v>72</v>
      </c>
      <c r="G15">
        <v>3507</v>
      </c>
      <c r="H15">
        <v>0</v>
      </c>
      <c r="I15" t="str">
        <f>OutputTable[[#This Row],[ProjectName]]&amp;OutputTable[[#This Row],[Name]]&amp;OutputTable[[#This Row],[Type]]&amp;OutputTable[[#This Row],[Source]]</f>
        <v>Unnamed ProjectByggsats.NumberOutNumber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10</v>
      </c>
      <c r="K15" cm="1">
        <f t="array" ref="K15">IFERROR(AVERAGE(IF((OutputTable[GroupByKey]=OutputTable[[#This Row],[GroupByKey]]),(OutputTable[GroupByKey]=OutputTable[[#This Row],[GroupByKey]])*OutputTable[RecordedValue])),0)</f>
        <v>3519.3</v>
      </c>
      <c r="L15" cm="1">
        <f t="array" ref="L15">IFERROR(_xlfn.STDEV.S(IF((OutputTable[GroupByKey]=OutputTable[[#This Row],[GroupByKey]]),(OutputTable[GroupByKey]=OutputTable[[#This Row],[GroupByKey]])*OutputTable[RecordedValue])),0)</f>
        <v>12.596736790843009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15" cm="1">
        <f t="array" ref="O15">MIN(IF((OutputTable[GroupByKey]=OutputTable[[#This Row],[GroupByKey]]),(OutputTable[GroupByKey]=OutputTable[[#This Row],[GroupByKey]])*OutputTable[RecordedValue]))</f>
        <v>3504</v>
      </c>
      <c r="P15" cm="1">
        <f t="array" ref="P15">MAX(IF((OutputTable[GroupByKey]=OutputTable[[#This Row],[GroupByKey]]),(OutputTable[GroupByKey]=OutputTable[[#This Row],[GroupByKey]])*OutputTable[RecordedValue]))</f>
        <v>3539</v>
      </c>
    </row>
    <row r="16" spans="1:16" x14ac:dyDescent="0.35">
      <c r="A16" t="s">
        <v>66</v>
      </c>
      <c r="B16" t="s">
        <v>69</v>
      </c>
      <c r="C16">
        <v>2</v>
      </c>
      <c r="D16" t="s">
        <v>96</v>
      </c>
      <c r="E16" t="s">
        <v>97</v>
      </c>
      <c r="F16" t="s">
        <v>86</v>
      </c>
      <c r="G16">
        <v>1291</v>
      </c>
      <c r="H16">
        <v>0</v>
      </c>
      <c r="I16" t="str">
        <f>OutputTable[[#This Row],[ProjectName]]&amp;OutputTable[[#This Row],[Name]]&amp;OutputTable[[#This Row],[Type]]&amp;OutputTable[[#This Row],[Source]]</f>
        <v>Unnamed ProjectOp1.NumberSeizedTotal Number SeizedResource</v>
      </c>
      <c r="J16" cm="1">
        <f t="array" ref="J16">MAX(IF((ProjectInfoTable[ProjectName]=OutputTable[[#This Row],[ProjectName]]),(ProjectInfoTable[ProjectName]=OutputTable[[#This Row],[ProjectName]])*ProjectInfoTable[NumberOfReplications]))</f>
        <v>10</v>
      </c>
      <c r="K16" cm="1">
        <f t="array" ref="K16">IFERROR(AVERAGE(IF((OutputTable[GroupByKey]=OutputTable[[#This Row],[GroupByKey]]),(OutputTable[GroupByKey]=OutputTable[[#This Row],[GroupByKey]])*OutputTable[RecordedValue])),0)</f>
        <v>1322.1</v>
      </c>
      <c r="L16" cm="1">
        <f t="array" ref="L16">IFERROR(_xlfn.STDEV.S(IF((OutputTable[GroupByKey]=OutputTable[[#This Row],[GroupByKey]]),(OutputTable[GroupByKey]=OutputTable[[#This Row],[GroupByKey]])*OutputTable[RecordedValue])),0)</f>
        <v>16.434719346554107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16" cm="1">
        <f t="array" ref="O16">MIN(IF((OutputTable[GroupByKey]=OutputTable[[#This Row],[GroupByKey]]),(OutputTable[GroupByKey]=OutputTable[[#This Row],[GroupByKey]])*OutputTable[RecordedValue]))</f>
        <v>1291</v>
      </c>
      <c r="P16" cm="1">
        <f t="array" ref="P16">MAX(IF((OutputTable[GroupByKey]=OutputTable[[#This Row],[GroupByKey]]),(OutputTable[GroupByKey]=OutputTable[[#This Row],[GroupByKey]])*OutputTable[RecordedValue]))</f>
        <v>1345</v>
      </c>
    </row>
    <row r="17" spans="1:16" x14ac:dyDescent="0.35">
      <c r="A17" t="s">
        <v>66</v>
      </c>
      <c r="B17" t="s">
        <v>69</v>
      </c>
      <c r="C17">
        <v>2</v>
      </c>
      <c r="D17" t="s">
        <v>98</v>
      </c>
      <c r="E17" t="s">
        <v>99</v>
      </c>
      <c r="F17" t="s">
        <v>86</v>
      </c>
      <c r="G17">
        <v>0.58095472748131705</v>
      </c>
      <c r="H17">
        <v>0</v>
      </c>
      <c r="I17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17" cm="1">
        <f t="array" ref="J17">MAX(IF((ProjectInfoTable[ProjectName]=OutputTable[[#This Row],[ProjectName]]),(ProjectInfoTable[ProjectName]=OutputTable[[#This Row],[ProjectName]])*ProjectInfoTable[NumberOfReplications]))</f>
        <v>10</v>
      </c>
      <c r="K17" cm="1">
        <f t="array" ref="K17">IFERROR(AVERAGE(IF((OutputTable[GroupByKey]=OutputTable[[#This Row],[GroupByKey]]),(OutputTable[GroupByKey]=OutputTable[[#This Row],[GroupByKey]])*OutputTable[RecordedValue])),0)</f>
        <v>0.59561658015121266</v>
      </c>
      <c r="L17" cm="1">
        <f t="array" ref="L17">IFERROR(_xlfn.STDEV.S(IF((OutputTable[GroupByKey]=OutputTable[[#This Row],[GroupByKey]]),(OutputTable[GroupByKey]=OutputTable[[#This Row],[GroupByKey]])*OutputTable[RecordedValue])),0)</f>
        <v>8.1342721434722529E-3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17" cm="1">
        <f t="array" ref="O17">MIN(IF((OutputTable[GroupByKey]=OutputTable[[#This Row],[GroupByKey]]),(OutputTable[GroupByKey]=OutputTable[[#This Row],[GroupByKey]])*OutputTable[RecordedValue]))</f>
        <v>0.58095472748131705</v>
      </c>
      <c r="P17" cm="1">
        <f t="array" ref="P17">MAX(IF((OutputTable[GroupByKey]=OutputTable[[#This Row],[GroupByKey]]),(OutputTable[GroupByKey]=OutputTable[[#This Row],[GroupByKey]])*OutputTable[RecordedValue]))</f>
        <v>0.60761888382065699</v>
      </c>
    </row>
    <row r="18" spans="1:16" x14ac:dyDescent="0.35">
      <c r="A18" t="s">
        <v>66</v>
      </c>
      <c r="B18" t="s">
        <v>69</v>
      </c>
      <c r="C18">
        <v>2</v>
      </c>
      <c r="D18" t="s">
        <v>100</v>
      </c>
      <c r="E18" t="s">
        <v>97</v>
      </c>
      <c r="F18" t="s">
        <v>86</v>
      </c>
      <c r="G18">
        <v>833</v>
      </c>
      <c r="H18">
        <v>0</v>
      </c>
      <c r="I18" t="str">
        <f>OutputTable[[#This Row],[ProjectName]]&amp;OutputTable[[#This Row],[Name]]&amp;OutputTable[[#This Row],[Type]]&amp;OutputTable[[#This Row],[Source]]</f>
        <v>Unnamed ProjectOp2.NumberSeizedTotal Number SeizedResource</v>
      </c>
      <c r="J18" cm="1">
        <f t="array" ref="J18">MAX(IF((ProjectInfoTable[ProjectName]=OutputTable[[#This Row],[ProjectName]]),(ProjectInfoTable[ProjectName]=OutputTable[[#This Row],[ProjectName]])*ProjectInfoTable[NumberOfReplications]))</f>
        <v>10</v>
      </c>
      <c r="K18" cm="1">
        <f t="array" ref="K18">IFERROR(AVERAGE(IF((OutputTable[GroupByKey]=OutputTable[[#This Row],[GroupByKey]]),(OutputTable[GroupByKey]=OutputTable[[#This Row],[GroupByKey]])*OutputTable[RecordedValue])),0)</f>
        <v>829.4</v>
      </c>
      <c r="L18" cm="1">
        <f t="array" ref="L18">IFERROR(_xlfn.STDEV.S(IF((OutputTable[GroupByKey]=OutputTable[[#This Row],[GroupByKey]]),(OutputTable[GroupByKey]=OutputTable[[#This Row],[GroupByKey]])*OutputTable[RecordedValue])),0)</f>
        <v>4.2739521132865619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18" cm="1">
        <f t="array" ref="O18">MIN(IF((OutputTable[GroupByKey]=OutputTable[[#This Row],[GroupByKey]]),(OutputTable[GroupByKey]=OutputTable[[#This Row],[GroupByKey]])*OutputTable[RecordedValue]))</f>
        <v>824</v>
      </c>
      <c r="P18" cm="1">
        <f t="array" ref="P18">MAX(IF((OutputTable[GroupByKey]=OutputTable[[#This Row],[GroupByKey]]),(OutputTable[GroupByKey]=OutputTable[[#This Row],[GroupByKey]])*OutputTable[RecordedValue]))</f>
        <v>836</v>
      </c>
    </row>
    <row r="19" spans="1:16" x14ac:dyDescent="0.35">
      <c r="A19" t="s">
        <v>66</v>
      </c>
      <c r="B19" t="s">
        <v>69</v>
      </c>
      <c r="C19">
        <v>2</v>
      </c>
      <c r="D19" t="s">
        <v>101</v>
      </c>
      <c r="E19" t="s">
        <v>99</v>
      </c>
      <c r="F19" t="s">
        <v>86</v>
      </c>
      <c r="G19">
        <v>0.806115411518457</v>
      </c>
      <c r="H19">
        <v>0</v>
      </c>
      <c r="I19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10</v>
      </c>
      <c r="K19" cm="1">
        <f t="array" ref="K19">IFERROR(AVERAGE(IF((OutputTable[GroupByKey]=OutputTable[[#This Row],[GroupByKey]]),(OutputTable[GroupByKey]=OutputTable[[#This Row],[GroupByKey]])*OutputTable[RecordedValue])),0)</f>
        <v>0.80260519246045448</v>
      </c>
      <c r="L19" cm="1">
        <f t="array" ref="L19">IFERROR(_xlfn.STDEV.S(IF((OutputTable[GroupByKey]=OutputTable[[#This Row],[GroupByKey]]),(OutputTable[GroupByKey]=OutputTable[[#This Row],[GroupByKey]])*OutputTable[RecordedValue])),0)</f>
        <v>5.033613012173632E-3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19" cm="1">
        <f t="array" ref="O19">MIN(IF((OutputTable[GroupByKey]=OutputTable[[#This Row],[GroupByKey]]),(OutputTable[GroupByKey]=OutputTable[[#This Row],[GroupByKey]])*OutputTable[RecordedValue]))</f>
        <v>0.79210128641287902</v>
      </c>
      <c r="P19" cm="1">
        <f t="array" ref="P19">MAX(IF((OutputTable[GroupByKey]=OutputTable[[#This Row],[GroupByKey]]),(OutputTable[GroupByKey]=OutputTable[[#This Row],[GroupByKey]])*OutputTable[RecordedValue]))</f>
        <v>0.80913537591663398</v>
      </c>
    </row>
    <row r="20" spans="1:16" x14ac:dyDescent="0.35">
      <c r="A20" t="s">
        <v>66</v>
      </c>
      <c r="B20" t="s">
        <v>69</v>
      </c>
      <c r="C20">
        <v>2</v>
      </c>
      <c r="D20" t="s">
        <v>102</v>
      </c>
      <c r="E20" t="s">
        <v>97</v>
      </c>
      <c r="F20" t="s">
        <v>86</v>
      </c>
      <c r="G20">
        <v>816</v>
      </c>
      <c r="H20">
        <v>0</v>
      </c>
      <c r="I20" t="str">
        <f>OutputTable[[#This Row],[ProjectName]]&amp;OutputTable[[#This Row],[Name]]&amp;OutputTable[[#This Row],[Type]]&amp;OutputTable[[#This Row],[Source]]</f>
        <v>Unnamed ProjectOp3.NumberSeizedTotal Number SeizedResource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10</v>
      </c>
      <c r="K20" cm="1">
        <f t="array" ref="K20">IFERROR(AVERAGE(IF((OutputTable[GroupByKey]=OutputTable[[#This Row],[GroupByKey]]),(OutputTable[GroupByKey]=OutputTable[[#This Row],[GroupByKey]])*OutputTable[RecordedValue])),0)</f>
        <v>815.3</v>
      </c>
      <c r="L20" cm="1">
        <f t="array" ref="L20">IFERROR(_xlfn.STDEV.S(IF((OutputTable[GroupByKey]=OutputTable[[#This Row],[GroupByKey]]),(OutputTable[GroupByKey]=OutputTable[[#This Row],[GroupByKey]])*OutputTable[RecordedValue])),0)</f>
        <v>2.5841396591085743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20" cm="1">
        <f t="array" ref="O20">MIN(IF((OutputTable[GroupByKey]=OutputTable[[#This Row],[GroupByKey]]),(OutputTable[GroupByKey]=OutputTable[[#This Row],[GroupByKey]])*OutputTable[RecordedValue]))</f>
        <v>812</v>
      </c>
      <c r="P20" cm="1">
        <f t="array" ref="P20">MAX(IF((OutputTable[GroupByKey]=OutputTable[[#This Row],[GroupByKey]]),(OutputTable[GroupByKey]=OutputTable[[#This Row],[GroupByKey]])*OutputTable[RecordedValue]))</f>
        <v>820</v>
      </c>
    </row>
    <row r="21" spans="1:16" x14ac:dyDescent="0.35">
      <c r="A21" t="s">
        <v>66</v>
      </c>
      <c r="B21" t="s">
        <v>69</v>
      </c>
      <c r="C21">
        <v>2</v>
      </c>
      <c r="D21" t="s">
        <v>103</v>
      </c>
      <c r="E21" t="s">
        <v>99</v>
      </c>
      <c r="F21" t="s">
        <v>86</v>
      </c>
      <c r="G21">
        <v>0.82977880197910603</v>
      </c>
      <c r="H21">
        <v>0</v>
      </c>
      <c r="I21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21" cm="1">
        <f t="array" ref="J21">MAX(IF((ProjectInfoTable[ProjectName]=OutputTable[[#This Row],[ProjectName]]),(ProjectInfoTable[ProjectName]=OutputTable[[#This Row],[ProjectName]])*ProjectInfoTable[NumberOfReplications]))</f>
        <v>10</v>
      </c>
      <c r="K21" cm="1">
        <f t="array" ref="K21">IFERROR(AVERAGE(IF((OutputTable[GroupByKey]=OutputTable[[#This Row],[GroupByKey]]),(OutputTable[GroupByKey]=OutputTable[[#This Row],[GroupByKey]])*OutputTable[RecordedValue])),0)</f>
        <v>0.83234137275869524</v>
      </c>
      <c r="L21" cm="1">
        <f t="array" ref="L21">IFERROR(_xlfn.STDEV.S(IF((OutputTable[GroupByKey]=OutputTable[[#This Row],[GroupByKey]]),(OutputTable[GroupByKey]=OutputTable[[#This Row],[GroupByKey]])*OutputTable[RecordedValue])),0)</f>
        <v>2.7440653084185238E-3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21" cm="1">
        <f t="array" ref="O21">MIN(IF((OutputTable[GroupByKey]=OutputTable[[#This Row],[GroupByKey]]),(OutputTable[GroupByKey]=OutputTable[[#This Row],[GroupByKey]])*OutputTable[RecordedValue]))</f>
        <v>0.82778443412963498</v>
      </c>
      <c r="P21" cm="1">
        <f t="array" ref="P21">MAX(IF((OutputTable[GroupByKey]=OutputTable[[#This Row],[GroupByKey]]),(OutputTable[GroupByKey]=OutputTable[[#This Row],[GroupByKey]])*OutputTable[RecordedValue]))</f>
        <v>0.835591266164598</v>
      </c>
    </row>
    <row r="22" spans="1:16" x14ac:dyDescent="0.35">
      <c r="A22" t="s">
        <v>66</v>
      </c>
      <c r="B22" t="s">
        <v>69</v>
      </c>
      <c r="C22">
        <v>2</v>
      </c>
      <c r="D22" t="s">
        <v>104</v>
      </c>
      <c r="E22" t="s">
        <v>97</v>
      </c>
      <c r="F22" t="s">
        <v>86</v>
      </c>
      <c r="G22">
        <v>811</v>
      </c>
      <c r="H22">
        <v>0</v>
      </c>
      <c r="I22" t="str">
        <f>OutputTable[[#This Row],[ProjectName]]&amp;OutputTable[[#This Row],[Name]]&amp;OutputTable[[#This Row],[Type]]&amp;OutputTable[[#This Row],[Source]]</f>
        <v>Unnamed ProjectOp4.NumberSeizedTotal Number SeizedResource</v>
      </c>
      <c r="J22" cm="1">
        <f t="array" ref="J22">MAX(IF((ProjectInfoTable[ProjectName]=OutputTable[[#This Row],[ProjectName]]),(ProjectInfoTable[ProjectName]=OutputTable[[#This Row],[ProjectName]])*ProjectInfoTable[NumberOfReplications]))</f>
        <v>10</v>
      </c>
      <c r="K22" cm="1">
        <f t="array" ref="K22">IFERROR(AVERAGE(IF((OutputTable[GroupByKey]=OutputTable[[#This Row],[GroupByKey]]),(OutputTable[GroupByKey]=OutputTable[[#This Row],[GroupByKey]])*OutputTable[RecordedValue])),0)</f>
        <v>815.5</v>
      </c>
      <c r="L22" cm="1">
        <f t="array" ref="L22">IFERROR(_xlfn.STDEV.S(IF((OutputTable[GroupByKey]=OutputTable[[#This Row],[GroupByKey]]),(OutputTable[GroupByKey]=OutputTable[[#This Row],[GroupByKey]])*OutputTable[RecordedValue])),0)</f>
        <v>3.6590830666833583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22" cm="1">
        <f t="array" ref="O22">MIN(IF((OutputTable[GroupByKey]=OutputTable[[#This Row],[GroupByKey]]),(OutputTable[GroupByKey]=OutputTable[[#This Row],[GroupByKey]])*OutputTable[RecordedValue]))</f>
        <v>811</v>
      </c>
      <c r="P22" cm="1">
        <f t="array" ref="P22">MAX(IF((OutputTable[GroupByKey]=OutputTable[[#This Row],[GroupByKey]]),(OutputTable[GroupByKey]=OutputTable[[#This Row],[GroupByKey]])*OutputTable[RecordedValue]))</f>
        <v>822</v>
      </c>
    </row>
    <row r="23" spans="1:16" x14ac:dyDescent="0.35">
      <c r="A23" t="s">
        <v>66</v>
      </c>
      <c r="B23" t="s">
        <v>69</v>
      </c>
      <c r="C23">
        <v>2</v>
      </c>
      <c r="D23" t="s">
        <v>105</v>
      </c>
      <c r="E23" t="s">
        <v>99</v>
      </c>
      <c r="F23" t="s">
        <v>86</v>
      </c>
      <c r="G23">
        <v>0.830596563080927</v>
      </c>
      <c r="H23">
        <v>0</v>
      </c>
      <c r="I23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23" cm="1">
        <f t="array" ref="J23">MAX(IF((ProjectInfoTable[ProjectName]=OutputTable[[#This Row],[ProjectName]]),(ProjectInfoTable[ProjectName]=OutputTable[[#This Row],[ProjectName]])*ProjectInfoTable[NumberOfReplications]))</f>
        <v>10</v>
      </c>
      <c r="K23" cm="1">
        <f t="array" ref="K23">IFERROR(AVERAGE(IF((OutputTable[GroupByKey]=OutputTable[[#This Row],[GroupByKey]]),(OutputTable[GroupByKey]=OutputTable[[#This Row],[GroupByKey]])*OutputTable[RecordedValue])),0)</f>
        <v>0.83254124414775088</v>
      </c>
      <c r="L23" cm="1">
        <f t="array" ref="L23">IFERROR(_xlfn.STDEV.S(IF((OutputTable[GroupByKey]=OutputTable[[#This Row],[GroupByKey]]),(OutputTable[GroupByKey]=OutputTable[[#This Row],[GroupByKey]])*OutputTable[RecordedValue])),0)</f>
        <v>4.1141718378968446E-3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23" cm="1">
        <f t="array" ref="O23">MIN(IF((OutputTable[GroupByKey]=OutputTable[[#This Row],[GroupByKey]]),(OutputTable[GroupByKey]=OutputTable[[#This Row],[GroupByKey]])*OutputTable[RecordedValue]))</f>
        <v>0.82692860079846797</v>
      </c>
      <c r="P23" cm="1">
        <f t="array" ref="P23">MAX(IF((OutputTable[GroupByKey]=OutputTable[[#This Row],[GroupByKey]]),(OutputTable[GroupByKey]=OutputTable[[#This Row],[GroupByKey]])*OutputTable[RecordedValue]))</f>
        <v>0.83908808891262199</v>
      </c>
    </row>
    <row r="24" spans="1:16" x14ac:dyDescent="0.35">
      <c r="A24" t="s">
        <v>66</v>
      </c>
      <c r="B24" t="s">
        <v>69</v>
      </c>
      <c r="C24">
        <v>2</v>
      </c>
      <c r="D24" t="s">
        <v>106</v>
      </c>
      <c r="E24" t="s">
        <v>95</v>
      </c>
      <c r="F24" t="s">
        <v>107</v>
      </c>
      <c r="G24">
        <v>3507</v>
      </c>
      <c r="H24">
        <v>0</v>
      </c>
      <c r="I24" t="str">
        <f>OutputTable[[#This Row],[ProjectName]]&amp;OutputTable[[#This Row],[Name]]&amp;OutputTable[[#This Row],[Type]]&amp;OutputTable[[#This Row],[Source]]</f>
        <v>Unnamed ProjectSystem.NumberOutNumber OutSystem</v>
      </c>
      <c r="J24" cm="1">
        <f t="array" ref="J24">MAX(IF((ProjectInfoTable[ProjectName]=OutputTable[[#This Row],[ProjectName]]),(ProjectInfoTable[ProjectName]=OutputTable[[#This Row],[ProjectName]])*ProjectInfoTable[NumberOfReplications]))</f>
        <v>10</v>
      </c>
      <c r="K24" cm="1">
        <f t="array" ref="K24">IFERROR(AVERAGE(IF((OutputTable[GroupByKey]=OutputTable[[#This Row],[GroupByKey]]),(OutputTable[GroupByKey]=OutputTable[[#This Row],[GroupByKey]])*OutputTable[RecordedValue])),0)</f>
        <v>3519.3</v>
      </c>
      <c r="L24" cm="1">
        <f t="array" ref="L24">IFERROR(_xlfn.STDEV.S(IF((OutputTable[GroupByKey]=OutputTable[[#This Row],[GroupByKey]]),(OutputTable[GroupByKey]=OutputTable[[#This Row],[GroupByKey]])*OutputTable[RecordedValue])),0)</f>
        <v>12.596736790843009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24" cm="1">
        <f t="array" ref="O24">MIN(IF((OutputTable[GroupByKey]=OutputTable[[#This Row],[GroupByKey]]),(OutputTable[GroupByKey]=OutputTable[[#This Row],[GroupByKey]])*OutputTable[RecordedValue]))</f>
        <v>3504</v>
      </c>
      <c r="P24" cm="1">
        <f t="array" ref="P24">MAX(IF((OutputTable[GroupByKey]=OutputTable[[#This Row],[GroupByKey]]),(OutputTable[GroupByKey]=OutputTable[[#This Row],[GroupByKey]])*OutputTable[RecordedValue]))</f>
        <v>3539</v>
      </c>
    </row>
    <row r="25" spans="1:16" x14ac:dyDescent="0.35">
      <c r="A25" t="s">
        <v>66</v>
      </c>
      <c r="B25" t="s">
        <v>69</v>
      </c>
      <c r="C25">
        <v>2</v>
      </c>
      <c r="D25" t="s">
        <v>108</v>
      </c>
      <c r="E25" t="s">
        <v>109</v>
      </c>
      <c r="F25" t="s">
        <v>110</v>
      </c>
      <c r="G25">
        <v>6</v>
      </c>
      <c r="H25">
        <v>0</v>
      </c>
      <c r="I25" t="str">
        <f>OutputTable[[#This Row],[ProjectName]]&amp;OutputTable[[#This Row],[Name]]&amp;OutputTable[[#This Row],[Type]]&amp;OutputTable[[#This Row],[Source]]</f>
        <v>Unnamed ProjecttidiSystemetOutputUser Specified</v>
      </c>
      <c r="J25" cm="1">
        <f t="array" ref="J25">MAX(IF((ProjectInfoTable[ProjectName]=OutputTable[[#This Row],[ProjectName]]),(ProjectInfoTable[ProjectName]=OutputTable[[#This Row],[ProjectName]])*ProjectInfoTable[NumberOfReplications]))</f>
        <v>10</v>
      </c>
      <c r="K25" cm="1">
        <f t="array" ref="K25">IFERROR(AVERAGE(IF((OutputTable[GroupByKey]=OutputTable[[#This Row],[GroupByKey]]),(OutputTable[GroupByKey]=OutputTable[[#This Row],[GroupByKey]])*OutputTable[RecordedValue])),0)</f>
        <v>6</v>
      </c>
      <c r="L25" cm="1">
        <f t="array" ref="L25">IFERROR(_xlfn.STDEV.S(IF((OutputTable[GroupByKey]=OutputTable[[#This Row],[GroupByKey]]),(OutputTable[GroupByKey]=OutputTable[[#This Row],[GroupByKey]])*OutputTable[RecordedValue])),0)</f>
        <v>0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25" cm="1">
        <f t="array" ref="O25">MIN(IF((OutputTable[GroupByKey]=OutputTable[[#This Row],[GroupByKey]]),(OutputTable[GroupByKey]=OutputTable[[#This Row],[GroupByKey]])*OutputTable[RecordedValue]))</f>
        <v>6</v>
      </c>
      <c r="P25" cm="1">
        <f t="array" ref="P25">MAX(IF((OutputTable[GroupByKey]=OutputTable[[#This Row],[GroupByKey]]),(OutputTable[GroupByKey]=OutputTable[[#This Row],[GroupByKey]])*OutputTable[RecordedValue]))</f>
        <v>6</v>
      </c>
    </row>
    <row r="26" spans="1:16" x14ac:dyDescent="0.35">
      <c r="A26" t="s">
        <v>66</v>
      </c>
      <c r="B26" t="s">
        <v>69</v>
      </c>
      <c r="C26">
        <v>3</v>
      </c>
      <c r="D26" t="s">
        <v>92</v>
      </c>
      <c r="E26" t="s">
        <v>93</v>
      </c>
      <c r="F26" t="s">
        <v>72</v>
      </c>
      <c r="G26">
        <v>3509</v>
      </c>
      <c r="H26">
        <v>0</v>
      </c>
      <c r="I26" t="str">
        <f>OutputTable[[#This Row],[ProjectName]]&amp;OutputTable[[#This Row],[Name]]&amp;OutputTable[[#This Row],[Type]]&amp;OutputTable[[#This Row],[Source]]</f>
        <v>Unnamed ProjectByggsats.NumberInNumber InEntity</v>
      </c>
      <c r="J26" cm="1">
        <f t="array" ref="J26">MAX(IF((ProjectInfoTable[ProjectName]=OutputTable[[#This Row],[ProjectName]]),(ProjectInfoTable[ProjectName]=OutputTable[[#This Row],[ProjectName]])*ProjectInfoTable[NumberOfReplications]))</f>
        <v>10</v>
      </c>
      <c r="K26" cm="1">
        <f t="array" ref="K26">IFERROR(AVERAGE(IF((OutputTable[GroupByKey]=OutputTable[[#This Row],[GroupByKey]]),(OutputTable[GroupByKey]=OutputTable[[#This Row],[GroupByKey]])*OutputTable[RecordedValue])),0)</f>
        <v>3523.8</v>
      </c>
      <c r="L26" cm="1">
        <f t="array" ref="L26">IFERROR(_xlfn.STDEV.S(IF((OutputTable[GroupByKey]=OutputTable[[#This Row],[GroupByKey]]),(OutputTable[GroupByKey]=OutputTable[[#This Row],[GroupByKey]])*OutputTable[RecordedValue])),0)</f>
        <v>12.35403667722507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26" cm="1">
        <f t="array" ref="O26">MIN(IF((OutputTable[GroupByKey]=OutputTable[[#This Row],[GroupByKey]]),(OutputTable[GroupByKey]=OutputTable[[#This Row],[GroupByKey]])*OutputTable[RecordedValue]))</f>
        <v>3509</v>
      </c>
      <c r="P26" cm="1">
        <f t="array" ref="P26">MAX(IF((OutputTable[GroupByKey]=OutputTable[[#This Row],[GroupByKey]]),(OutputTable[GroupByKey]=OutputTable[[#This Row],[GroupByKey]])*OutputTable[RecordedValue]))</f>
        <v>3543</v>
      </c>
    </row>
    <row r="27" spans="1:16" x14ac:dyDescent="0.35">
      <c r="A27" t="s">
        <v>66</v>
      </c>
      <c r="B27" t="s">
        <v>69</v>
      </c>
      <c r="C27">
        <v>3</v>
      </c>
      <c r="D27" t="s">
        <v>94</v>
      </c>
      <c r="E27" t="s">
        <v>95</v>
      </c>
      <c r="F27" t="s">
        <v>72</v>
      </c>
      <c r="G27">
        <v>3504</v>
      </c>
      <c r="H27">
        <v>0</v>
      </c>
      <c r="I27" t="str">
        <f>OutputTable[[#This Row],[ProjectName]]&amp;OutputTable[[#This Row],[Name]]&amp;OutputTable[[#This Row],[Type]]&amp;OutputTable[[#This Row],[Source]]</f>
        <v>Unnamed ProjectByggsats.NumberOutNumber OutEntity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10</v>
      </c>
      <c r="K27" cm="1">
        <f t="array" ref="K27">IFERROR(AVERAGE(IF((OutputTable[GroupByKey]=OutputTable[[#This Row],[GroupByKey]]),(OutputTable[GroupByKey]=OutputTable[[#This Row],[GroupByKey]])*OutputTable[RecordedValue])),0)</f>
        <v>3519.3</v>
      </c>
      <c r="L27" cm="1">
        <f t="array" ref="L27">IFERROR(_xlfn.STDEV.S(IF((OutputTable[GroupByKey]=OutputTable[[#This Row],[GroupByKey]]),(OutputTable[GroupByKey]=OutputTable[[#This Row],[GroupByKey]])*OutputTable[RecordedValue])),0)</f>
        <v>12.596736790843009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27" cm="1">
        <f t="array" ref="O27">MIN(IF((OutputTable[GroupByKey]=OutputTable[[#This Row],[GroupByKey]]),(OutputTable[GroupByKey]=OutputTable[[#This Row],[GroupByKey]])*OutputTable[RecordedValue]))</f>
        <v>3504</v>
      </c>
      <c r="P27" cm="1">
        <f t="array" ref="P27">MAX(IF((OutputTable[GroupByKey]=OutputTable[[#This Row],[GroupByKey]]),(OutputTable[GroupByKey]=OutputTable[[#This Row],[GroupByKey]])*OutputTable[RecordedValue]))</f>
        <v>3539</v>
      </c>
    </row>
    <row r="28" spans="1:16" x14ac:dyDescent="0.35">
      <c r="A28" t="s">
        <v>66</v>
      </c>
      <c r="B28" t="s">
        <v>69</v>
      </c>
      <c r="C28">
        <v>3</v>
      </c>
      <c r="D28" t="s">
        <v>96</v>
      </c>
      <c r="E28" t="s">
        <v>97</v>
      </c>
      <c r="F28" t="s">
        <v>86</v>
      </c>
      <c r="G28">
        <v>1315</v>
      </c>
      <c r="H28">
        <v>0</v>
      </c>
      <c r="I28" t="str">
        <f>OutputTable[[#This Row],[ProjectName]]&amp;OutputTable[[#This Row],[Name]]&amp;OutputTable[[#This Row],[Type]]&amp;OutputTable[[#This Row],[Source]]</f>
        <v>Unnamed ProjectOp1.NumberSeizedTotal Number SeizedResource</v>
      </c>
      <c r="J28" cm="1">
        <f t="array" ref="J28">MAX(IF((ProjectInfoTable[ProjectName]=OutputTable[[#This Row],[ProjectName]]),(ProjectInfoTable[ProjectName]=OutputTable[[#This Row],[ProjectName]])*ProjectInfoTable[NumberOfReplications]))</f>
        <v>10</v>
      </c>
      <c r="K28" cm="1">
        <f t="array" ref="K28">IFERROR(AVERAGE(IF((OutputTable[GroupByKey]=OutputTable[[#This Row],[GroupByKey]]),(OutputTable[GroupByKey]=OutputTable[[#This Row],[GroupByKey]])*OutputTable[RecordedValue])),0)</f>
        <v>1322.1</v>
      </c>
      <c r="L28" cm="1">
        <f t="array" ref="L28">IFERROR(_xlfn.STDEV.S(IF((OutputTable[GroupByKey]=OutputTable[[#This Row],[GroupByKey]]),(OutputTable[GroupByKey]=OutputTable[[#This Row],[GroupByKey]])*OutputTable[RecordedValue])),0)</f>
        <v>16.434719346554107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28" cm="1">
        <f t="array" ref="O28">MIN(IF((OutputTable[GroupByKey]=OutputTable[[#This Row],[GroupByKey]]),(OutputTable[GroupByKey]=OutputTable[[#This Row],[GroupByKey]])*OutputTable[RecordedValue]))</f>
        <v>1291</v>
      </c>
      <c r="P28" cm="1">
        <f t="array" ref="P28">MAX(IF((OutputTable[GroupByKey]=OutputTable[[#This Row],[GroupByKey]]),(OutputTable[GroupByKey]=OutputTable[[#This Row],[GroupByKey]])*OutputTable[RecordedValue]))</f>
        <v>1345</v>
      </c>
    </row>
    <row r="29" spans="1:16" x14ac:dyDescent="0.35">
      <c r="A29" t="s">
        <v>66</v>
      </c>
      <c r="B29" t="s">
        <v>69</v>
      </c>
      <c r="C29">
        <v>3</v>
      </c>
      <c r="D29" t="s">
        <v>98</v>
      </c>
      <c r="E29" t="s">
        <v>99</v>
      </c>
      <c r="F29" t="s">
        <v>86</v>
      </c>
      <c r="G29">
        <v>0.59213389015754403</v>
      </c>
      <c r="H29">
        <v>0</v>
      </c>
      <c r="I29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10</v>
      </c>
      <c r="K29" cm="1">
        <f t="array" ref="K29">IFERROR(AVERAGE(IF((OutputTable[GroupByKey]=OutputTable[[#This Row],[GroupByKey]]),(OutputTable[GroupByKey]=OutputTable[[#This Row],[GroupByKey]])*OutputTable[RecordedValue])),0)</f>
        <v>0.59561658015121266</v>
      </c>
      <c r="L29" cm="1">
        <f t="array" ref="L29">IFERROR(_xlfn.STDEV.S(IF((OutputTable[GroupByKey]=OutputTable[[#This Row],[GroupByKey]]),(OutputTable[GroupByKey]=OutputTable[[#This Row],[GroupByKey]])*OutputTable[RecordedValue])),0)</f>
        <v>8.1342721434722529E-3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29" cm="1">
        <f t="array" ref="O29">MIN(IF((OutputTable[GroupByKey]=OutputTable[[#This Row],[GroupByKey]]),(OutputTable[GroupByKey]=OutputTable[[#This Row],[GroupByKey]])*OutputTable[RecordedValue]))</f>
        <v>0.58095472748131705</v>
      </c>
      <c r="P29" cm="1">
        <f t="array" ref="P29">MAX(IF((OutputTable[GroupByKey]=OutputTable[[#This Row],[GroupByKey]]),(OutputTable[GroupByKey]=OutputTable[[#This Row],[GroupByKey]])*OutputTable[RecordedValue]))</f>
        <v>0.60761888382065699</v>
      </c>
    </row>
    <row r="30" spans="1:16" x14ac:dyDescent="0.35">
      <c r="A30" t="s">
        <v>66</v>
      </c>
      <c r="B30" t="s">
        <v>69</v>
      </c>
      <c r="C30">
        <v>3</v>
      </c>
      <c r="D30" t="s">
        <v>100</v>
      </c>
      <c r="E30" t="s">
        <v>97</v>
      </c>
      <c r="F30" t="s">
        <v>86</v>
      </c>
      <c r="G30">
        <v>826</v>
      </c>
      <c r="H30">
        <v>0</v>
      </c>
      <c r="I30" t="str">
        <f>OutputTable[[#This Row],[ProjectName]]&amp;OutputTable[[#This Row],[Name]]&amp;OutputTable[[#This Row],[Type]]&amp;OutputTable[[#This Row],[Source]]</f>
        <v>Unnamed ProjectOp2.NumberSeizedTotal Number SeizedResource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10</v>
      </c>
      <c r="K30" cm="1">
        <f t="array" ref="K30">IFERROR(AVERAGE(IF((OutputTable[GroupByKey]=OutputTable[[#This Row],[GroupByKey]]),(OutputTable[GroupByKey]=OutputTable[[#This Row],[GroupByKey]])*OutputTable[RecordedValue])),0)</f>
        <v>829.4</v>
      </c>
      <c r="L30" cm="1">
        <f t="array" ref="L30">IFERROR(_xlfn.STDEV.S(IF((OutputTable[GroupByKey]=OutputTable[[#This Row],[GroupByKey]]),(OutputTable[GroupByKey]=OutputTable[[#This Row],[GroupByKey]])*OutputTable[RecordedValue])),0)</f>
        <v>4.2739521132865619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30" cm="1">
        <f t="array" ref="O30">MIN(IF((OutputTable[GroupByKey]=OutputTable[[#This Row],[GroupByKey]]),(OutputTable[GroupByKey]=OutputTable[[#This Row],[GroupByKey]])*OutputTable[RecordedValue]))</f>
        <v>824</v>
      </c>
      <c r="P30" cm="1">
        <f t="array" ref="P30">MAX(IF((OutputTable[GroupByKey]=OutputTable[[#This Row],[GroupByKey]]),(OutputTable[GroupByKey]=OutputTable[[#This Row],[GroupByKey]])*OutputTable[RecordedValue]))</f>
        <v>836</v>
      </c>
    </row>
    <row r="31" spans="1:16" x14ac:dyDescent="0.35">
      <c r="A31" t="s">
        <v>66</v>
      </c>
      <c r="B31" t="s">
        <v>69</v>
      </c>
      <c r="C31">
        <v>3</v>
      </c>
      <c r="D31" t="s">
        <v>101</v>
      </c>
      <c r="E31" t="s">
        <v>99</v>
      </c>
      <c r="F31" t="s">
        <v>86</v>
      </c>
      <c r="G31">
        <v>0.802957038593899</v>
      </c>
      <c r="H31">
        <v>0</v>
      </c>
      <c r="I31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31" cm="1">
        <f t="array" ref="J31">MAX(IF((ProjectInfoTable[ProjectName]=OutputTable[[#This Row],[ProjectName]]),(ProjectInfoTable[ProjectName]=OutputTable[[#This Row],[ProjectName]])*ProjectInfoTable[NumberOfReplications]))</f>
        <v>10</v>
      </c>
      <c r="K31" cm="1">
        <f t="array" ref="K31">IFERROR(AVERAGE(IF((OutputTable[GroupByKey]=OutputTable[[#This Row],[GroupByKey]]),(OutputTable[GroupByKey]=OutputTable[[#This Row],[GroupByKey]])*OutputTable[RecordedValue])),0)</f>
        <v>0.80260519246045448</v>
      </c>
      <c r="L31" cm="1">
        <f t="array" ref="L31">IFERROR(_xlfn.STDEV.S(IF((OutputTable[GroupByKey]=OutputTable[[#This Row],[GroupByKey]]),(OutputTable[GroupByKey]=OutputTable[[#This Row],[GroupByKey]])*OutputTable[RecordedValue])),0)</f>
        <v>5.033613012173632E-3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31" cm="1">
        <f t="array" ref="O31">MIN(IF((OutputTable[GroupByKey]=OutputTable[[#This Row],[GroupByKey]]),(OutputTable[GroupByKey]=OutputTable[[#This Row],[GroupByKey]])*OutputTable[RecordedValue]))</f>
        <v>0.79210128641287902</v>
      </c>
      <c r="P31" cm="1">
        <f t="array" ref="P31">MAX(IF((OutputTable[GroupByKey]=OutputTable[[#This Row],[GroupByKey]]),(OutputTable[GroupByKey]=OutputTable[[#This Row],[GroupByKey]])*OutputTable[RecordedValue]))</f>
        <v>0.80913537591663398</v>
      </c>
    </row>
    <row r="32" spans="1:16" x14ac:dyDescent="0.35">
      <c r="A32" t="s">
        <v>66</v>
      </c>
      <c r="B32" t="s">
        <v>69</v>
      </c>
      <c r="C32">
        <v>3</v>
      </c>
      <c r="D32" t="s">
        <v>102</v>
      </c>
      <c r="E32" t="s">
        <v>97</v>
      </c>
      <c r="F32" t="s">
        <v>86</v>
      </c>
      <c r="G32">
        <v>813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ProjectOp3.NumberSeizedTotal Number SeizedResource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10</v>
      </c>
      <c r="K32" s="5" cm="1">
        <f t="array" ref="K32">IFERROR(AVERAGE(IF((OutputTable[GroupByKey]=OutputTable[[#This Row],[GroupByKey]]),(OutputTable[GroupByKey]=OutputTable[[#This Row],[GroupByKey]])*OutputTable[RecordedValue])),0)</f>
        <v>815.3</v>
      </c>
      <c r="L32" s="5" cm="1">
        <f t="array" ref="L32">IFERROR(_xlfn.STDEV.S(IF((OutputTable[GroupByKey]=OutputTable[[#This Row],[GroupByKey]]),(OutputTable[GroupByKey]=OutputTable[[#This Row],[GroupByKey]])*OutputTable[RecordedValue])),0)</f>
        <v>2.5841396591085743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32" s="5" cm="1">
        <f t="array" ref="O32">MIN(IF((OutputTable[GroupByKey]=OutputTable[[#This Row],[GroupByKey]]),(OutputTable[GroupByKey]=OutputTable[[#This Row],[GroupByKey]])*OutputTable[RecordedValue]))</f>
        <v>812</v>
      </c>
      <c r="P32" s="5" cm="1">
        <f t="array" ref="P32">MAX(IF((OutputTable[GroupByKey]=OutputTable[[#This Row],[GroupByKey]]),(OutputTable[GroupByKey]=OutputTable[[#This Row],[GroupByKey]])*OutputTable[RecordedValue]))</f>
        <v>820</v>
      </c>
    </row>
    <row r="33" spans="1:16" x14ac:dyDescent="0.35">
      <c r="A33" t="s">
        <v>66</v>
      </c>
      <c r="B33" t="s">
        <v>69</v>
      </c>
      <c r="C33">
        <v>3</v>
      </c>
      <c r="D33" t="s">
        <v>103</v>
      </c>
      <c r="E33" t="s">
        <v>99</v>
      </c>
      <c r="F33" t="s">
        <v>86</v>
      </c>
      <c r="G33">
        <v>0.82935623531965497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10</v>
      </c>
      <c r="K33" s="5" cm="1">
        <f t="array" ref="K33">IFERROR(AVERAGE(IF((OutputTable[GroupByKey]=OutputTable[[#This Row],[GroupByKey]]),(OutputTable[GroupByKey]=OutputTable[[#This Row],[GroupByKey]])*OutputTable[RecordedValue])),0)</f>
        <v>0.83234137275869524</v>
      </c>
      <c r="L33" s="5" cm="1">
        <f t="array" ref="L33">IFERROR(_xlfn.STDEV.S(IF((OutputTable[GroupByKey]=OutputTable[[#This Row],[GroupByKey]]),(OutputTable[GroupByKey]=OutputTable[[#This Row],[GroupByKey]])*OutputTable[RecordedValue])),0)</f>
        <v>2.7440653084185238E-3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33" s="5" cm="1">
        <f t="array" ref="O33">MIN(IF((OutputTable[GroupByKey]=OutputTable[[#This Row],[GroupByKey]]),(OutputTable[GroupByKey]=OutputTable[[#This Row],[GroupByKey]])*OutputTable[RecordedValue]))</f>
        <v>0.82778443412963498</v>
      </c>
      <c r="P33" s="5" cm="1">
        <f t="array" ref="P33">MAX(IF((OutputTable[GroupByKey]=OutputTable[[#This Row],[GroupByKey]]),(OutputTable[GroupByKey]=OutputTable[[#This Row],[GroupByKey]])*OutputTable[RecordedValue]))</f>
        <v>0.835591266164598</v>
      </c>
    </row>
    <row r="34" spans="1:16" x14ac:dyDescent="0.35">
      <c r="A34" t="s">
        <v>66</v>
      </c>
      <c r="B34" t="s">
        <v>69</v>
      </c>
      <c r="C34">
        <v>3</v>
      </c>
      <c r="D34" t="s">
        <v>104</v>
      </c>
      <c r="E34" t="s">
        <v>97</v>
      </c>
      <c r="F34" t="s">
        <v>86</v>
      </c>
      <c r="G34">
        <v>815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ProjectOp4.NumberSeizedTotal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10</v>
      </c>
      <c r="K34" s="5" cm="1">
        <f t="array" ref="K34">IFERROR(AVERAGE(IF((OutputTable[GroupByKey]=OutputTable[[#This Row],[GroupByKey]]),(OutputTable[GroupByKey]=OutputTable[[#This Row],[GroupByKey]])*OutputTable[RecordedValue])),0)</f>
        <v>815.5</v>
      </c>
      <c r="L34" s="5" cm="1">
        <f t="array" ref="L34">IFERROR(_xlfn.STDEV.S(IF((OutputTable[GroupByKey]=OutputTable[[#This Row],[GroupByKey]]),(OutputTable[GroupByKey]=OutputTable[[#This Row],[GroupByKey]])*OutputTable[RecordedValue])),0)</f>
        <v>3.6590830666833583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34" s="5" cm="1">
        <f t="array" ref="O34">MIN(IF((OutputTable[GroupByKey]=OutputTable[[#This Row],[GroupByKey]]),(OutputTable[GroupByKey]=OutputTable[[#This Row],[GroupByKey]])*OutputTable[RecordedValue]))</f>
        <v>811</v>
      </c>
      <c r="P34" s="5" cm="1">
        <f t="array" ref="P34">MAX(IF((OutputTable[GroupByKey]=OutputTable[[#This Row],[GroupByKey]]),(OutputTable[GroupByKey]=OutputTable[[#This Row],[GroupByKey]])*OutputTable[RecordedValue]))</f>
        <v>822</v>
      </c>
    </row>
    <row r="35" spans="1:16" x14ac:dyDescent="0.35">
      <c r="A35" t="s">
        <v>66</v>
      </c>
      <c r="B35" t="s">
        <v>69</v>
      </c>
      <c r="C35">
        <v>3</v>
      </c>
      <c r="D35" t="s">
        <v>105</v>
      </c>
      <c r="E35" t="s">
        <v>99</v>
      </c>
      <c r="F35" t="s">
        <v>86</v>
      </c>
      <c r="G35">
        <v>0.83152303682254802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10</v>
      </c>
      <c r="K35" s="5" cm="1">
        <f t="array" ref="K35">IFERROR(AVERAGE(IF((OutputTable[GroupByKey]=OutputTable[[#This Row],[GroupByKey]]),(OutputTable[GroupByKey]=OutputTable[[#This Row],[GroupByKey]])*OutputTable[RecordedValue])),0)</f>
        <v>0.83254124414775088</v>
      </c>
      <c r="L35" s="5" cm="1">
        <f t="array" ref="L35">IFERROR(_xlfn.STDEV.S(IF((OutputTable[GroupByKey]=OutputTable[[#This Row],[GroupByKey]]),(OutputTable[GroupByKey]=OutputTable[[#This Row],[GroupByKey]])*OutputTable[RecordedValue])),0)</f>
        <v>4.1141718378968446E-3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35" s="5" cm="1">
        <f t="array" ref="O35">MIN(IF((OutputTable[GroupByKey]=OutputTable[[#This Row],[GroupByKey]]),(OutputTable[GroupByKey]=OutputTable[[#This Row],[GroupByKey]])*OutputTable[RecordedValue]))</f>
        <v>0.82692860079846797</v>
      </c>
      <c r="P35" s="5" cm="1">
        <f t="array" ref="P35">MAX(IF((OutputTable[GroupByKey]=OutputTable[[#This Row],[GroupByKey]]),(OutputTable[GroupByKey]=OutputTable[[#This Row],[GroupByKey]])*OutputTable[RecordedValue]))</f>
        <v>0.83908808891262199</v>
      </c>
    </row>
    <row r="36" spans="1:16" x14ac:dyDescent="0.35">
      <c r="A36" t="s">
        <v>66</v>
      </c>
      <c r="B36" t="s">
        <v>69</v>
      </c>
      <c r="C36">
        <v>3</v>
      </c>
      <c r="D36" t="s">
        <v>106</v>
      </c>
      <c r="E36" t="s">
        <v>95</v>
      </c>
      <c r="F36" t="s">
        <v>107</v>
      </c>
      <c r="G36">
        <v>3504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10</v>
      </c>
      <c r="K36" s="5" cm="1">
        <f t="array" ref="K36">IFERROR(AVERAGE(IF((OutputTable[GroupByKey]=OutputTable[[#This Row],[GroupByKey]]),(OutputTable[GroupByKey]=OutputTable[[#This Row],[GroupByKey]])*OutputTable[RecordedValue])),0)</f>
        <v>3519.3</v>
      </c>
      <c r="L36" s="5" cm="1">
        <f t="array" ref="L36">IFERROR(_xlfn.STDEV.S(IF((OutputTable[GroupByKey]=OutputTable[[#This Row],[GroupByKey]]),(OutputTable[GroupByKey]=OutputTable[[#This Row],[GroupByKey]])*OutputTable[RecordedValue])),0)</f>
        <v>12.596736790843009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36" s="5" cm="1">
        <f t="array" ref="O36">MIN(IF((OutputTable[GroupByKey]=OutputTable[[#This Row],[GroupByKey]]),(OutputTable[GroupByKey]=OutputTable[[#This Row],[GroupByKey]])*OutputTable[RecordedValue]))</f>
        <v>3504</v>
      </c>
      <c r="P36" s="5" cm="1">
        <f t="array" ref="P36">MAX(IF((OutputTable[GroupByKey]=OutputTable[[#This Row],[GroupByKey]]),(OutputTable[GroupByKey]=OutputTable[[#This Row],[GroupByKey]])*OutputTable[RecordedValue]))</f>
        <v>3539</v>
      </c>
    </row>
    <row r="37" spans="1:16" x14ac:dyDescent="0.35">
      <c r="A37" t="s">
        <v>66</v>
      </c>
      <c r="B37" t="s">
        <v>69</v>
      </c>
      <c r="C37">
        <v>3</v>
      </c>
      <c r="D37" t="s">
        <v>108</v>
      </c>
      <c r="E37" t="s">
        <v>109</v>
      </c>
      <c r="F37" t="s">
        <v>110</v>
      </c>
      <c r="G37">
        <v>6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ProjecttidiSystemetOutputUser Specified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10</v>
      </c>
      <c r="K37" s="5" cm="1">
        <f t="array" ref="K37">IFERROR(AVERAGE(IF((OutputTable[GroupByKey]=OutputTable[[#This Row],[GroupByKey]]),(OutputTable[GroupByKey]=OutputTable[[#This Row],[GroupByKey]])*OutputTable[RecordedValue])),0)</f>
        <v>6</v>
      </c>
      <c r="L37" s="5" cm="1">
        <f t="array" ref="L37">IFERROR(_xlfn.STDEV.S(IF((OutputTable[GroupByKey]=OutputTable[[#This Row],[GroupByKey]]),(OutputTable[GroupByKey]=OutputTable[[#This Row],[GroupByKey]])*OutputTable[RecordedValue])),0)</f>
        <v>0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37" s="5" cm="1">
        <f t="array" ref="O37">MIN(IF((OutputTable[GroupByKey]=OutputTable[[#This Row],[GroupByKey]]),(OutputTable[GroupByKey]=OutputTable[[#This Row],[GroupByKey]])*OutputTable[RecordedValue]))</f>
        <v>6</v>
      </c>
      <c r="P37" s="5" cm="1">
        <f t="array" ref="P37">MAX(IF((OutputTable[GroupByKey]=OutputTable[[#This Row],[GroupByKey]]),(OutputTable[GroupByKey]=OutputTable[[#This Row],[GroupByKey]])*OutputTable[RecordedValue]))</f>
        <v>6</v>
      </c>
    </row>
    <row r="38" spans="1:16" x14ac:dyDescent="0.35">
      <c r="A38" t="s">
        <v>66</v>
      </c>
      <c r="B38" t="s">
        <v>69</v>
      </c>
      <c r="C38">
        <v>4</v>
      </c>
      <c r="D38" t="s">
        <v>92</v>
      </c>
      <c r="E38" t="s">
        <v>93</v>
      </c>
      <c r="F38" t="s">
        <v>72</v>
      </c>
      <c r="G38">
        <v>3514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ProjectByggsats.NumberInNumber InEntity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10</v>
      </c>
      <c r="K38" s="5" cm="1">
        <f t="array" ref="K38">IFERROR(AVERAGE(IF((OutputTable[GroupByKey]=OutputTable[[#This Row],[GroupByKey]]),(OutputTable[GroupByKey]=OutputTable[[#This Row],[GroupByKey]])*OutputTable[RecordedValue])),0)</f>
        <v>3523.8</v>
      </c>
      <c r="L38" s="5" cm="1">
        <f t="array" ref="L38">IFERROR(_xlfn.STDEV.S(IF((OutputTable[GroupByKey]=OutputTable[[#This Row],[GroupByKey]]),(OutputTable[GroupByKey]=OutputTable[[#This Row],[GroupByKey]])*OutputTable[RecordedValue])),0)</f>
        <v>12.35403667722507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38" s="5" cm="1">
        <f t="array" ref="O38">MIN(IF((OutputTable[GroupByKey]=OutputTable[[#This Row],[GroupByKey]]),(OutputTable[GroupByKey]=OutputTable[[#This Row],[GroupByKey]])*OutputTable[RecordedValue]))</f>
        <v>3509</v>
      </c>
      <c r="P38" s="5" cm="1">
        <f t="array" ref="P38">MAX(IF((OutputTable[GroupByKey]=OutputTable[[#This Row],[GroupByKey]]),(OutputTable[GroupByKey]=OutputTable[[#This Row],[GroupByKey]])*OutputTable[RecordedValue]))</f>
        <v>3543</v>
      </c>
    </row>
    <row r="39" spans="1:16" x14ac:dyDescent="0.35">
      <c r="A39" t="s">
        <v>66</v>
      </c>
      <c r="B39" t="s">
        <v>69</v>
      </c>
      <c r="C39">
        <v>4</v>
      </c>
      <c r="D39" t="s">
        <v>94</v>
      </c>
      <c r="E39" t="s">
        <v>95</v>
      </c>
      <c r="F39" t="s">
        <v>72</v>
      </c>
      <c r="G39">
        <v>3510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ProjectByggsats.NumberOutNumber OutEntity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10</v>
      </c>
      <c r="K39" s="5" cm="1">
        <f t="array" ref="K39">IFERROR(AVERAGE(IF((OutputTable[GroupByKey]=OutputTable[[#This Row],[GroupByKey]]),(OutputTable[GroupByKey]=OutputTable[[#This Row],[GroupByKey]])*OutputTable[RecordedValue])),0)</f>
        <v>3519.3</v>
      </c>
      <c r="L39" s="5" cm="1">
        <f t="array" ref="L39">IFERROR(_xlfn.STDEV.S(IF((OutputTable[GroupByKey]=OutputTable[[#This Row],[GroupByKey]]),(OutputTable[GroupByKey]=OutputTable[[#This Row],[GroupByKey]])*OutputTable[RecordedValue])),0)</f>
        <v>12.596736790843009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39" s="5" cm="1">
        <f t="array" ref="O39">MIN(IF((OutputTable[GroupByKey]=OutputTable[[#This Row],[GroupByKey]]),(OutputTable[GroupByKey]=OutputTable[[#This Row],[GroupByKey]])*OutputTable[RecordedValue]))</f>
        <v>3504</v>
      </c>
      <c r="P39" s="5" cm="1">
        <f t="array" ref="P39">MAX(IF((OutputTable[GroupByKey]=OutputTable[[#This Row],[GroupByKey]]),(OutputTable[GroupByKey]=OutputTable[[#This Row],[GroupByKey]])*OutputTable[RecordedValue]))</f>
        <v>3539</v>
      </c>
    </row>
    <row r="40" spans="1:16" x14ac:dyDescent="0.35">
      <c r="A40" t="s">
        <v>66</v>
      </c>
      <c r="B40" t="s">
        <v>69</v>
      </c>
      <c r="C40">
        <v>4</v>
      </c>
      <c r="D40" t="s">
        <v>96</v>
      </c>
      <c r="E40" t="s">
        <v>97</v>
      </c>
      <c r="F40" t="s">
        <v>86</v>
      </c>
      <c r="G40">
        <v>1302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ProjectOp1.NumberSeizedTotal Number SeizedResource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10</v>
      </c>
      <c r="K40" s="5" cm="1">
        <f t="array" ref="K40">IFERROR(AVERAGE(IF((OutputTable[GroupByKey]=OutputTable[[#This Row],[GroupByKey]]),(OutputTable[GroupByKey]=OutputTable[[#This Row],[GroupByKey]])*OutputTable[RecordedValue])),0)</f>
        <v>1322.1</v>
      </c>
      <c r="L40" s="5" cm="1">
        <f t="array" ref="L40">IFERROR(_xlfn.STDEV.S(IF((OutputTable[GroupByKey]=OutputTable[[#This Row],[GroupByKey]]),(OutputTable[GroupByKey]=OutputTable[[#This Row],[GroupByKey]])*OutputTable[RecordedValue])),0)</f>
        <v>16.434719346554107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40" s="5" cm="1">
        <f t="array" ref="O40">MIN(IF((OutputTable[GroupByKey]=OutputTable[[#This Row],[GroupByKey]]),(OutputTable[GroupByKey]=OutputTable[[#This Row],[GroupByKey]])*OutputTable[RecordedValue]))</f>
        <v>1291</v>
      </c>
      <c r="P40" s="5" cm="1">
        <f t="array" ref="P40">MAX(IF((OutputTable[GroupByKey]=OutputTable[[#This Row],[GroupByKey]]),(OutputTable[GroupByKey]=OutputTable[[#This Row],[GroupByKey]])*OutputTable[RecordedValue]))</f>
        <v>1345</v>
      </c>
    </row>
    <row r="41" spans="1:16" x14ac:dyDescent="0.35">
      <c r="A41" t="s">
        <v>66</v>
      </c>
      <c r="B41" t="s">
        <v>69</v>
      </c>
      <c r="C41">
        <v>4</v>
      </c>
      <c r="D41" t="s">
        <v>98</v>
      </c>
      <c r="E41" t="s">
        <v>99</v>
      </c>
      <c r="F41" t="s">
        <v>86</v>
      </c>
      <c r="G41">
        <v>0.58692356837193405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10</v>
      </c>
      <c r="K41" s="5" cm="1">
        <f t="array" ref="K41">IFERROR(AVERAGE(IF((OutputTable[GroupByKey]=OutputTable[[#This Row],[GroupByKey]]),(OutputTable[GroupByKey]=OutputTable[[#This Row],[GroupByKey]])*OutputTable[RecordedValue])),0)</f>
        <v>0.59561658015121266</v>
      </c>
      <c r="L41" s="5" cm="1">
        <f t="array" ref="L41">IFERROR(_xlfn.STDEV.S(IF((OutputTable[GroupByKey]=OutputTable[[#This Row],[GroupByKey]]),(OutputTable[GroupByKey]=OutputTable[[#This Row],[GroupByKey]])*OutputTable[RecordedValue])),0)</f>
        <v>8.1342721434722529E-3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41" s="5" cm="1">
        <f t="array" ref="O41">MIN(IF((OutputTable[GroupByKey]=OutputTable[[#This Row],[GroupByKey]]),(OutputTable[GroupByKey]=OutputTable[[#This Row],[GroupByKey]])*OutputTable[RecordedValue]))</f>
        <v>0.58095472748131705</v>
      </c>
      <c r="P41" s="5" cm="1">
        <f t="array" ref="P41">MAX(IF((OutputTable[GroupByKey]=OutputTable[[#This Row],[GroupByKey]]),(OutputTable[GroupByKey]=OutputTable[[#This Row],[GroupByKey]])*OutputTable[RecordedValue]))</f>
        <v>0.60761888382065699</v>
      </c>
    </row>
    <row r="42" spans="1:16" x14ac:dyDescent="0.35">
      <c r="A42" t="s">
        <v>66</v>
      </c>
      <c r="B42" t="s">
        <v>69</v>
      </c>
      <c r="C42">
        <v>4</v>
      </c>
      <c r="D42" t="s">
        <v>100</v>
      </c>
      <c r="E42" t="s">
        <v>97</v>
      </c>
      <c r="F42" t="s">
        <v>86</v>
      </c>
      <c r="G42">
        <v>831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ProjectOp2.NumberSeizedTotal Number SeizedResource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10</v>
      </c>
      <c r="K42" s="5" cm="1">
        <f t="array" ref="K42">IFERROR(AVERAGE(IF((OutputTable[GroupByKey]=OutputTable[[#This Row],[GroupByKey]]),(OutputTable[GroupByKey]=OutputTable[[#This Row],[GroupByKey]])*OutputTable[RecordedValue])),0)</f>
        <v>829.4</v>
      </c>
      <c r="L42" s="5" cm="1">
        <f t="array" ref="L42">IFERROR(_xlfn.STDEV.S(IF((OutputTable[GroupByKey]=OutputTable[[#This Row],[GroupByKey]]),(OutputTable[GroupByKey]=OutputTable[[#This Row],[GroupByKey]])*OutputTable[RecordedValue])),0)</f>
        <v>4.2739521132865619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42" s="5" cm="1">
        <f t="array" ref="O42">MIN(IF((OutputTable[GroupByKey]=OutputTable[[#This Row],[GroupByKey]]),(OutputTable[GroupByKey]=OutputTable[[#This Row],[GroupByKey]])*OutputTable[RecordedValue]))</f>
        <v>824</v>
      </c>
      <c r="P42" s="5" cm="1">
        <f t="array" ref="P42">MAX(IF((OutputTable[GroupByKey]=OutputTable[[#This Row],[GroupByKey]]),(OutputTable[GroupByKey]=OutputTable[[#This Row],[GroupByKey]])*OutputTable[RecordedValue]))</f>
        <v>836</v>
      </c>
    </row>
    <row r="43" spans="1:16" x14ac:dyDescent="0.35">
      <c r="A43" t="s">
        <v>66</v>
      </c>
      <c r="B43" t="s">
        <v>69</v>
      </c>
      <c r="C43">
        <v>4</v>
      </c>
      <c r="D43" t="s">
        <v>101</v>
      </c>
      <c r="E43" t="s">
        <v>99</v>
      </c>
      <c r="F43" t="s">
        <v>86</v>
      </c>
      <c r="G43">
        <v>0.80401750740523303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10</v>
      </c>
      <c r="K43" s="5" cm="1">
        <f t="array" ref="K43">IFERROR(AVERAGE(IF((OutputTable[GroupByKey]=OutputTable[[#This Row],[GroupByKey]]),(OutputTable[GroupByKey]=OutputTable[[#This Row],[GroupByKey]])*OutputTable[RecordedValue])),0)</f>
        <v>0.80260519246045448</v>
      </c>
      <c r="L43" s="5" cm="1">
        <f t="array" ref="L43">IFERROR(_xlfn.STDEV.S(IF((OutputTable[GroupByKey]=OutputTable[[#This Row],[GroupByKey]]),(OutputTable[GroupByKey]=OutputTable[[#This Row],[GroupByKey]])*OutputTable[RecordedValue])),0)</f>
        <v>5.033613012173632E-3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43" s="5" cm="1">
        <f t="array" ref="O43">MIN(IF((OutputTable[GroupByKey]=OutputTable[[#This Row],[GroupByKey]]),(OutputTable[GroupByKey]=OutputTable[[#This Row],[GroupByKey]])*OutputTable[RecordedValue]))</f>
        <v>0.79210128641287902</v>
      </c>
      <c r="P43" s="5" cm="1">
        <f t="array" ref="P43">MAX(IF((OutputTable[GroupByKey]=OutputTable[[#This Row],[GroupByKey]]),(OutputTable[GroupByKey]=OutputTable[[#This Row],[GroupByKey]])*OutputTable[RecordedValue]))</f>
        <v>0.80913537591663398</v>
      </c>
    </row>
    <row r="44" spans="1:16" x14ac:dyDescent="0.35">
      <c r="A44" t="s">
        <v>66</v>
      </c>
      <c r="B44" t="s">
        <v>69</v>
      </c>
      <c r="C44">
        <v>4</v>
      </c>
      <c r="D44" t="s">
        <v>102</v>
      </c>
      <c r="E44" t="s">
        <v>97</v>
      </c>
      <c r="F44" t="s">
        <v>86</v>
      </c>
      <c r="G44">
        <v>817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ProjectOp3.NumberSeizedTotal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10</v>
      </c>
      <c r="K44" s="5" cm="1">
        <f t="array" ref="K44">IFERROR(AVERAGE(IF((OutputTable[GroupByKey]=OutputTable[[#This Row],[GroupByKey]]),(OutputTable[GroupByKey]=OutputTable[[#This Row],[GroupByKey]])*OutputTable[RecordedValue])),0)</f>
        <v>815.3</v>
      </c>
      <c r="L44" s="5" cm="1">
        <f t="array" ref="L44">IFERROR(_xlfn.STDEV.S(IF((OutputTable[GroupByKey]=OutputTable[[#This Row],[GroupByKey]]),(OutputTable[GroupByKey]=OutputTable[[#This Row],[GroupByKey]])*OutputTable[RecordedValue])),0)</f>
        <v>2.5841396591085743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44" s="5" cm="1">
        <f t="array" ref="O44">MIN(IF((OutputTable[GroupByKey]=OutputTable[[#This Row],[GroupByKey]]),(OutputTable[GroupByKey]=OutputTable[[#This Row],[GroupByKey]])*OutputTable[RecordedValue]))</f>
        <v>812</v>
      </c>
      <c r="P44" s="5" cm="1">
        <f t="array" ref="P44">MAX(IF((OutputTable[GroupByKey]=OutputTable[[#This Row],[GroupByKey]]),(OutputTable[GroupByKey]=OutputTable[[#This Row],[GroupByKey]])*OutputTable[RecordedValue]))</f>
        <v>820</v>
      </c>
    </row>
    <row r="45" spans="1:16" x14ac:dyDescent="0.35">
      <c r="A45" t="s">
        <v>66</v>
      </c>
      <c r="B45" t="s">
        <v>69</v>
      </c>
      <c r="C45">
        <v>4</v>
      </c>
      <c r="D45" t="s">
        <v>103</v>
      </c>
      <c r="E45" t="s">
        <v>99</v>
      </c>
      <c r="F45" t="s">
        <v>86</v>
      </c>
      <c r="G45">
        <v>0.83250004294119695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10</v>
      </c>
      <c r="K45" s="5" cm="1">
        <f t="array" ref="K45">IFERROR(AVERAGE(IF((OutputTable[GroupByKey]=OutputTable[[#This Row],[GroupByKey]]),(OutputTable[GroupByKey]=OutputTable[[#This Row],[GroupByKey]])*OutputTable[RecordedValue])),0)</f>
        <v>0.83234137275869524</v>
      </c>
      <c r="L45" s="5" cm="1">
        <f t="array" ref="L45">IFERROR(_xlfn.STDEV.S(IF((OutputTable[GroupByKey]=OutputTable[[#This Row],[GroupByKey]]),(OutputTable[GroupByKey]=OutputTable[[#This Row],[GroupByKey]])*OutputTable[RecordedValue])),0)</f>
        <v>2.7440653084185238E-3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45" s="5" cm="1">
        <f t="array" ref="O45">MIN(IF((OutputTable[GroupByKey]=OutputTable[[#This Row],[GroupByKey]]),(OutputTable[GroupByKey]=OutputTable[[#This Row],[GroupByKey]])*OutputTable[RecordedValue]))</f>
        <v>0.82778443412963498</v>
      </c>
      <c r="P45" s="5" cm="1">
        <f t="array" ref="P45">MAX(IF((OutputTable[GroupByKey]=OutputTable[[#This Row],[GroupByKey]]),(OutputTable[GroupByKey]=OutputTable[[#This Row],[GroupByKey]])*OutputTable[RecordedValue]))</f>
        <v>0.835591266164598</v>
      </c>
    </row>
    <row r="46" spans="1:16" x14ac:dyDescent="0.35">
      <c r="A46" t="s">
        <v>66</v>
      </c>
      <c r="B46" t="s">
        <v>69</v>
      </c>
      <c r="C46">
        <v>4</v>
      </c>
      <c r="D46" t="s">
        <v>104</v>
      </c>
      <c r="E46" t="s">
        <v>97</v>
      </c>
      <c r="F46" t="s">
        <v>86</v>
      </c>
      <c r="G46">
        <v>813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ProjectOp4.NumberSeizedTotal Number SeizedResource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10</v>
      </c>
      <c r="K46" s="5" cm="1">
        <f t="array" ref="K46">IFERROR(AVERAGE(IF((OutputTable[GroupByKey]=OutputTable[[#This Row],[GroupByKey]]),(OutputTable[GroupByKey]=OutputTable[[#This Row],[GroupByKey]])*OutputTable[RecordedValue])),0)</f>
        <v>815.5</v>
      </c>
      <c r="L46" s="5" cm="1">
        <f t="array" ref="L46">IFERROR(_xlfn.STDEV.S(IF((OutputTable[GroupByKey]=OutputTable[[#This Row],[GroupByKey]]),(OutputTable[GroupByKey]=OutputTable[[#This Row],[GroupByKey]])*OutputTable[RecordedValue])),0)</f>
        <v>3.6590830666833583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46" s="5" cm="1">
        <f t="array" ref="O46">MIN(IF((OutputTable[GroupByKey]=OutputTable[[#This Row],[GroupByKey]]),(OutputTable[GroupByKey]=OutputTable[[#This Row],[GroupByKey]])*OutputTable[RecordedValue]))</f>
        <v>811</v>
      </c>
      <c r="P46" s="5" cm="1">
        <f t="array" ref="P46">MAX(IF((OutputTable[GroupByKey]=OutputTable[[#This Row],[GroupByKey]]),(OutputTable[GroupByKey]=OutputTable[[#This Row],[GroupByKey]])*OutputTable[RecordedValue]))</f>
        <v>822</v>
      </c>
    </row>
    <row r="47" spans="1:16" x14ac:dyDescent="0.35">
      <c r="A47" t="s">
        <v>66</v>
      </c>
      <c r="B47" t="s">
        <v>69</v>
      </c>
      <c r="C47">
        <v>4</v>
      </c>
      <c r="D47" t="s">
        <v>105</v>
      </c>
      <c r="E47" t="s">
        <v>99</v>
      </c>
      <c r="F47" t="s">
        <v>86</v>
      </c>
      <c r="G47">
        <v>0.82907913713772696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10</v>
      </c>
      <c r="K47" s="5" cm="1">
        <f t="array" ref="K47">IFERROR(AVERAGE(IF((OutputTable[GroupByKey]=OutputTable[[#This Row],[GroupByKey]]),(OutputTable[GroupByKey]=OutputTable[[#This Row],[GroupByKey]])*OutputTable[RecordedValue])),0)</f>
        <v>0.83254124414775088</v>
      </c>
      <c r="L47" s="5" cm="1">
        <f t="array" ref="L47">IFERROR(_xlfn.STDEV.S(IF((OutputTable[GroupByKey]=OutputTable[[#This Row],[GroupByKey]]),(OutputTable[GroupByKey]=OutputTable[[#This Row],[GroupByKey]])*OutputTable[RecordedValue])),0)</f>
        <v>4.1141718378968446E-3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47" s="5" cm="1">
        <f t="array" ref="O47">MIN(IF((OutputTable[GroupByKey]=OutputTable[[#This Row],[GroupByKey]]),(OutputTable[GroupByKey]=OutputTable[[#This Row],[GroupByKey]])*OutputTable[RecordedValue]))</f>
        <v>0.82692860079846797</v>
      </c>
      <c r="P47" s="5" cm="1">
        <f t="array" ref="P47">MAX(IF((OutputTable[GroupByKey]=OutputTable[[#This Row],[GroupByKey]]),(OutputTable[GroupByKey]=OutputTable[[#This Row],[GroupByKey]])*OutputTable[RecordedValue]))</f>
        <v>0.83908808891262199</v>
      </c>
    </row>
    <row r="48" spans="1:16" x14ac:dyDescent="0.35">
      <c r="A48" t="s">
        <v>66</v>
      </c>
      <c r="B48" t="s">
        <v>69</v>
      </c>
      <c r="C48">
        <v>4</v>
      </c>
      <c r="D48" t="s">
        <v>106</v>
      </c>
      <c r="E48" t="s">
        <v>95</v>
      </c>
      <c r="F48" t="s">
        <v>107</v>
      </c>
      <c r="G48">
        <v>3510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ProjectSystem.NumberOutNumber OutSystem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10</v>
      </c>
      <c r="K48" s="5" cm="1">
        <f t="array" ref="K48">IFERROR(AVERAGE(IF((OutputTable[GroupByKey]=OutputTable[[#This Row],[GroupByKey]]),(OutputTable[GroupByKey]=OutputTable[[#This Row],[GroupByKey]])*OutputTable[RecordedValue])),0)</f>
        <v>3519.3</v>
      </c>
      <c r="L48" s="5" cm="1">
        <f t="array" ref="L48">IFERROR(_xlfn.STDEV.S(IF((OutputTable[GroupByKey]=OutputTable[[#This Row],[GroupByKey]]),(OutputTable[GroupByKey]=OutputTable[[#This Row],[GroupByKey]])*OutputTable[RecordedValue])),0)</f>
        <v>12.596736790843009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48" s="5" cm="1">
        <f t="array" ref="O48">MIN(IF((OutputTable[GroupByKey]=OutputTable[[#This Row],[GroupByKey]]),(OutputTable[GroupByKey]=OutputTable[[#This Row],[GroupByKey]])*OutputTable[RecordedValue]))</f>
        <v>3504</v>
      </c>
      <c r="P48" s="5" cm="1">
        <f t="array" ref="P48">MAX(IF((OutputTable[GroupByKey]=OutputTable[[#This Row],[GroupByKey]]),(OutputTable[GroupByKey]=OutputTable[[#This Row],[GroupByKey]])*OutputTable[RecordedValue]))</f>
        <v>3539</v>
      </c>
    </row>
    <row r="49" spans="1:16" x14ac:dyDescent="0.35">
      <c r="A49" t="s">
        <v>66</v>
      </c>
      <c r="B49" t="s">
        <v>69</v>
      </c>
      <c r="C49">
        <v>4</v>
      </c>
      <c r="D49" t="s">
        <v>108</v>
      </c>
      <c r="E49" t="s">
        <v>109</v>
      </c>
      <c r="F49" t="s">
        <v>110</v>
      </c>
      <c r="G49">
        <v>6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ProjecttidiSystemetOutputUser Specified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10</v>
      </c>
      <c r="K49" s="5" cm="1">
        <f t="array" ref="K49">IFERROR(AVERAGE(IF((OutputTable[GroupByKey]=OutputTable[[#This Row],[GroupByKey]]),(OutputTable[GroupByKey]=OutputTable[[#This Row],[GroupByKey]])*OutputTable[RecordedValue])),0)</f>
        <v>6</v>
      </c>
      <c r="L49" s="5" cm="1">
        <f t="array" ref="L49">IFERROR(_xlfn.STDEV.S(IF((OutputTable[GroupByKey]=OutputTable[[#This Row],[GroupByKey]]),(OutputTable[GroupByKey]=OutputTable[[#This Row],[GroupByKey]])*OutputTable[RecordedValue])),0)</f>
        <v>0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49" s="5" cm="1">
        <f t="array" ref="O49">MIN(IF((OutputTable[GroupByKey]=OutputTable[[#This Row],[GroupByKey]]),(OutputTable[GroupByKey]=OutputTable[[#This Row],[GroupByKey]])*OutputTable[RecordedValue]))</f>
        <v>6</v>
      </c>
      <c r="P49" s="5" cm="1">
        <f t="array" ref="P49">MAX(IF((OutputTable[GroupByKey]=OutputTable[[#This Row],[GroupByKey]]),(OutputTable[GroupByKey]=OutputTable[[#This Row],[GroupByKey]])*OutputTable[RecordedValue]))</f>
        <v>6</v>
      </c>
    </row>
    <row r="50" spans="1:16" x14ac:dyDescent="0.35">
      <c r="A50" t="s">
        <v>66</v>
      </c>
      <c r="B50" t="s">
        <v>69</v>
      </c>
      <c r="C50">
        <v>5</v>
      </c>
      <c r="D50" t="s">
        <v>92</v>
      </c>
      <c r="E50" t="s">
        <v>93</v>
      </c>
      <c r="F50" t="s">
        <v>72</v>
      </c>
      <c r="G50">
        <v>3543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ProjectByggsats.NumberInNumber InEntity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10</v>
      </c>
      <c r="K50" s="5" cm="1">
        <f t="array" ref="K50">IFERROR(AVERAGE(IF((OutputTable[GroupByKey]=OutputTable[[#This Row],[GroupByKey]]),(OutputTable[GroupByKey]=OutputTable[[#This Row],[GroupByKey]])*OutputTable[RecordedValue])),0)</f>
        <v>3523.8</v>
      </c>
      <c r="L50" s="5" cm="1">
        <f t="array" ref="L50">IFERROR(_xlfn.STDEV.S(IF((OutputTable[GroupByKey]=OutputTable[[#This Row],[GroupByKey]]),(OutputTable[GroupByKey]=OutputTable[[#This Row],[GroupByKey]])*OutputTable[RecordedValue])),0)</f>
        <v>12.35403667722507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50" s="5" cm="1">
        <f t="array" ref="O50">MIN(IF((OutputTable[GroupByKey]=OutputTable[[#This Row],[GroupByKey]]),(OutputTable[GroupByKey]=OutputTable[[#This Row],[GroupByKey]])*OutputTable[RecordedValue]))</f>
        <v>3509</v>
      </c>
      <c r="P50" s="5" cm="1">
        <f t="array" ref="P50">MAX(IF((OutputTable[GroupByKey]=OutputTable[[#This Row],[GroupByKey]]),(OutputTable[GroupByKey]=OutputTable[[#This Row],[GroupByKey]])*OutputTable[RecordedValue]))</f>
        <v>3543</v>
      </c>
    </row>
    <row r="51" spans="1:16" x14ac:dyDescent="0.35">
      <c r="A51" t="s">
        <v>66</v>
      </c>
      <c r="B51" t="s">
        <v>69</v>
      </c>
      <c r="C51">
        <v>5</v>
      </c>
      <c r="D51" t="s">
        <v>94</v>
      </c>
      <c r="E51" t="s">
        <v>95</v>
      </c>
      <c r="F51" t="s">
        <v>72</v>
      </c>
      <c r="G51">
        <v>3539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ProjectByggsats.NumberOutNumber OutEntity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10</v>
      </c>
      <c r="K51" s="5" cm="1">
        <f t="array" ref="K51">IFERROR(AVERAGE(IF((OutputTable[GroupByKey]=OutputTable[[#This Row],[GroupByKey]]),(OutputTable[GroupByKey]=OutputTable[[#This Row],[GroupByKey]])*OutputTable[RecordedValue])),0)</f>
        <v>3519.3</v>
      </c>
      <c r="L51" s="5" cm="1">
        <f t="array" ref="L51">IFERROR(_xlfn.STDEV.S(IF((OutputTable[GroupByKey]=OutputTable[[#This Row],[GroupByKey]]),(OutputTable[GroupByKey]=OutputTable[[#This Row],[GroupByKey]])*OutputTable[RecordedValue])),0)</f>
        <v>12.596736790843009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51" s="5" cm="1">
        <f t="array" ref="O51">MIN(IF((OutputTable[GroupByKey]=OutputTable[[#This Row],[GroupByKey]]),(OutputTable[GroupByKey]=OutputTable[[#This Row],[GroupByKey]])*OutputTable[RecordedValue]))</f>
        <v>3504</v>
      </c>
      <c r="P51" s="5" cm="1">
        <f t="array" ref="P51">MAX(IF((OutputTable[GroupByKey]=OutputTable[[#This Row],[GroupByKey]]),(OutputTable[GroupByKey]=OutputTable[[#This Row],[GroupByKey]])*OutputTable[RecordedValue]))</f>
        <v>3539</v>
      </c>
    </row>
    <row r="52" spans="1:16" x14ac:dyDescent="0.35">
      <c r="A52" t="s">
        <v>66</v>
      </c>
      <c r="B52" t="s">
        <v>69</v>
      </c>
      <c r="C52">
        <v>5</v>
      </c>
      <c r="D52" t="s">
        <v>96</v>
      </c>
      <c r="E52" t="s">
        <v>97</v>
      </c>
      <c r="F52" t="s">
        <v>86</v>
      </c>
      <c r="G52">
        <v>1324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ProjectOp1.NumberSeizedTotal Number SeizedResource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10</v>
      </c>
      <c r="K52" s="5" cm="1">
        <f t="array" ref="K52">IFERROR(AVERAGE(IF((OutputTable[GroupByKey]=OutputTable[[#This Row],[GroupByKey]]),(OutputTable[GroupByKey]=OutputTable[[#This Row],[GroupByKey]])*OutputTable[RecordedValue])),0)</f>
        <v>1322.1</v>
      </c>
      <c r="L52" s="5" cm="1">
        <f t="array" ref="L52">IFERROR(_xlfn.STDEV.S(IF((OutputTable[GroupByKey]=OutputTable[[#This Row],[GroupByKey]]),(OutputTable[GroupByKey]=OutputTable[[#This Row],[GroupByKey]])*OutputTable[RecordedValue])),0)</f>
        <v>16.434719346554107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52" s="5" cm="1">
        <f t="array" ref="O52">MIN(IF((OutputTable[GroupByKey]=OutputTable[[#This Row],[GroupByKey]]),(OutputTable[GroupByKey]=OutputTable[[#This Row],[GroupByKey]])*OutputTable[RecordedValue]))</f>
        <v>1291</v>
      </c>
      <c r="P52" s="5" cm="1">
        <f t="array" ref="P52">MAX(IF((OutputTable[GroupByKey]=OutputTable[[#This Row],[GroupByKey]]),(OutputTable[GroupByKey]=OutputTable[[#This Row],[GroupByKey]])*OutputTable[RecordedValue]))</f>
        <v>1345</v>
      </c>
    </row>
    <row r="53" spans="1:16" x14ac:dyDescent="0.35">
      <c r="A53" t="s">
        <v>66</v>
      </c>
      <c r="B53" t="s">
        <v>69</v>
      </c>
      <c r="C53">
        <v>5</v>
      </c>
      <c r="D53" t="s">
        <v>98</v>
      </c>
      <c r="E53" t="s">
        <v>99</v>
      </c>
      <c r="F53" t="s">
        <v>86</v>
      </c>
      <c r="G53">
        <v>0.59529994453747503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10</v>
      </c>
      <c r="K53" s="5" cm="1">
        <f t="array" ref="K53">IFERROR(AVERAGE(IF((OutputTable[GroupByKey]=OutputTable[[#This Row],[GroupByKey]]),(OutputTable[GroupByKey]=OutputTable[[#This Row],[GroupByKey]])*OutputTable[RecordedValue])),0)</f>
        <v>0.59561658015121266</v>
      </c>
      <c r="L53" s="5" cm="1">
        <f t="array" ref="L53">IFERROR(_xlfn.STDEV.S(IF((OutputTable[GroupByKey]=OutputTable[[#This Row],[GroupByKey]]),(OutputTable[GroupByKey]=OutputTable[[#This Row],[GroupByKey]])*OutputTable[RecordedValue])),0)</f>
        <v>8.1342721434722529E-3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53" s="5" cm="1">
        <f t="array" ref="O53">MIN(IF((OutputTable[GroupByKey]=OutputTable[[#This Row],[GroupByKey]]),(OutputTable[GroupByKey]=OutputTable[[#This Row],[GroupByKey]])*OutputTable[RecordedValue]))</f>
        <v>0.58095472748131705</v>
      </c>
      <c r="P53" s="5" cm="1">
        <f t="array" ref="P53">MAX(IF((OutputTable[GroupByKey]=OutputTable[[#This Row],[GroupByKey]]),(OutputTable[GroupByKey]=OutputTable[[#This Row],[GroupByKey]])*OutputTable[RecordedValue]))</f>
        <v>0.60761888382065699</v>
      </c>
    </row>
    <row r="54" spans="1:16" x14ac:dyDescent="0.35">
      <c r="A54" t="s">
        <v>66</v>
      </c>
      <c r="B54" t="s">
        <v>69</v>
      </c>
      <c r="C54">
        <v>5</v>
      </c>
      <c r="D54" t="s">
        <v>100</v>
      </c>
      <c r="E54" t="s">
        <v>97</v>
      </c>
      <c r="F54" t="s">
        <v>86</v>
      </c>
      <c r="G54">
        <v>824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ProjectOp2.NumberSeizedTotal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10</v>
      </c>
      <c r="K54" s="5" cm="1">
        <f t="array" ref="K54">IFERROR(AVERAGE(IF((OutputTable[GroupByKey]=OutputTable[[#This Row],[GroupByKey]]),(OutputTable[GroupByKey]=OutputTable[[#This Row],[GroupByKey]])*OutputTable[RecordedValue])),0)</f>
        <v>829.4</v>
      </c>
      <c r="L54" s="5" cm="1">
        <f t="array" ref="L54">IFERROR(_xlfn.STDEV.S(IF((OutputTable[GroupByKey]=OutputTable[[#This Row],[GroupByKey]]),(OutputTable[GroupByKey]=OutputTable[[#This Row],[GroupByKey]])*OutputTable[RecordedValue])),0)</f>
        <v>4.2739521132865619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54" s="5" cm="1">
        <f t="array" ref="O54">MIN(IF((OutputTable[GroupByKey]=OutputTable[[#This Row],[GroupByKey]]),(OutputTable[GroupByKey]=OutputTable[[#This Row],[GroupByKey]])*OutputTable[RecordedValue]))</f>
        <v>824</v>
      </c>
      <c r="P54" s="5" cm="1">
        <f t="array" ref="P54">MAX(IF((OutputTable[GroupByKey]=OutputTable[[#This Row],[GroupByKey]]),(OutputTable[GroupByKey]=OutputTable[[#This Row],[GroupByKey]])*OutputTable[RecordedValue]))</f>
        <v>836</v>
      </c>
    </row>
    <row r="55" spans="1:16" x14ac:dyDescent="0.35">
      <c r="A55" t="s">
        <v>66</v>
      </c>
      <c r="B55" t="s">
        <v>69</v>
      </c>
      <c r="C55">
        <v>5</v>
      </c>
      <c r="D55" t="s">
        <v>101</v>
      </c>
      <c r="E55" t="s">
        <v>99</v>
      </c>
      <c r="F55" t="s">
        <v>86</v>
      </c>
      <c r="G55">
        <v>0.79210128641287902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10</v>
      </c>
      <c r="K55" s="5" cm="1">
        <f t="array" ref="K55">IFERROR(AVERAGE(IF((OutputTable[GroupByKey]=OutputTable[[#This Row],[GroupByKey]]),(OutputTable[GroupByKey]=OutputTable[[#This Row],[GroupByKey]])*OutputTable[RecordedValue])),0)</f>
        <v>0.80260519246045448</v>
      </c>
      <c r="L55" s="5" cm="1">
        <f t="array" ref="L55">IFERROR(_xlfn.STDEV.S(IF((OutputTable[GroupByKey]=OutputTable[[#This Row],[GroupByKey]]),(OutputTable[GroupByKey]=OutputTable[[#This Row],[GroupByKey]])*OutputTable[RecordedValue])),0)</f>
        <v>5.033613012173632E-3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55" s="5" cm="1">
        <f t="array" ref="O55">MIN(IF((OutputTable[GroupByKey]=OutputTable[[#This Row],[GroupByKey]]),(OutputTable[GroupByKey]=OutputTable[[#This Row],[GroupByKey]])*OutputTable[RecordedValue]))</f>
        <v>0.79210128641287902</v>
      </c>
      <c r="P55" s="5" cm="1">
        <f t="array" ref="P55">MAX(IF((OutputTable[GroupByKey]=OutputTable[[#This Row],[GroupByKey]]),(OutputTable[GroupByKey]=OutputTable[[#This Row],[GroupByKey]])*OutputTable[RecordedValue]))</f>
        <v>0.80913537591663398</v>
      </c>
    </row>
    <row r="56" spans="1:16" x14ac:dyDescent="0.35">
      <c r="A56" t="s">
        <v>66</v>
      </c>
      <c r="B56" t="s">
        <v>69</v>
      </c>
      <c r="C56">
        <v>5</v>
      </c>
      <c r="D56" t="s">
        <v>102</v>
      </c>
      <c r="E56" t="s">
        <v>97</v>
      </c>
      <c r="F56" t="s">
        <v>86</v>
      </c>
      <c r="G56">
        <v>812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ProjectOp3.NumberSeizedTotal Number SeizedResource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10</v>
      </c>
      <c r="K56" s="5" cm="1">
        <f t="array" ref="K56">IFERROR(AVERAGE(IF((OutputTable[GroupByKey]=OutputTable[[#This Row],[GroupByKey]]),(OutputTable[GroupByKey]=OutputTable[[#This Row],[GroupByKey]])*OutputTable[RecordedValue])),0)</f>
        <v>815.3</v>
      </c>
      <c r="L56" s="5" cm="1">
        <f t="array" ref="L56">IFERROR(_xlfn.STDEV.S(IF((OutputTable[GroupByKey]=OutputTable[[#This Row],[GroupByKey]]),(OutputTable[GroupByKey]=OutputTable[[#This Row],[GroupByKey]])*OutputTable[RecordedValue])),0)</f>
        <v>2.5841396591085743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56" s="5" cm="1">
        <f t="array" ref="O56">MIN(IF((OutputTable[GroupByKey]=OutputTable[[#This Row],[GroupByKey]]),(OutputTable[GroupByKey]=OutputTable[[#This Row],[GroupByKey]])*OutputTable[RecordedValue]))</f>
        <v>812</v>
      </c>
      <c r="P56" s="5" cm="1">
        <f t="array" ref="P56">MAX(IF((OutputTable[GroupByKey]=OutputTable[[#This Row],[GroupByKey]]),(OutputTable[GroupByKey]=OutputTable[[#This Row],[GroupByKey]])*OutputTable[RecordedValue]))</f>
        <v>820</v>
      </c>
    </row>
    <row r="57" spans="1:16" x14ac:dyDescent="0.35">
      <c r="A57" t="s">
        <v>66</v>
      </c>
      <c r="B57" t="s">
        <v>69</v>
      </c>
      <c r="C57">
        <v>5</v>
      </c>
      <c r="D57" t="s">
        <v>103</v>
      </c>
      <c r="E57" t="s">
        <v>99</v>
      </c>
      <c r="F57" t="s">
        <v>86</v>
      </c>
      <c r="G57">
        <v>0.82778443412963498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10</v>
      </c>
      <c r="K57" s="5" cm="1">
        <f t="array" ref="K57">IFERROR(AVERAGE(IF((OutputTable[GroupByKey]=OutputTable[[#This Row],[GroupByKey]]),(OutputTable[GroupByKey]=OutputTable[[#This Row],[GroupByKey]])*OutputTable[RecordedValue])),0)</f>
        <v>0.83234137275869524</v>
      </c>
      <c r="L57" s="5" cm="1">
        <f t="array" ref="L57">IFERROR(_xlfn.STDEV.S(IF((OutputTable[GroupByKey]=OutputTable[[#This Row],[GroupByKey]]),(OutputTable[GroupByKey]=OutputTable[[#This Row],[GroupByKey]])*OutputTable[RecordedValue])),0)</f>
        <v>2.7440653084185238E-3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57" s="5" cm="1">
        <f t="array" ref="O57">MIN(IF((OutputTable[GroupByKey]=OutputTable[[#This Row],[GroupByKey]]),(OutputTable[GroupByKey]=OutputTable[[#This Row],[GroupByKey]])*OutputTable[RecordedValue]))</f>
        <v>0.82778443412963498</v>
      </c>
      <c r="P57" s="5" cm="1">
        <f t="array" ref="P57">MAX(IF((OutputTable[GroupByKey]=OutputTable[[#This Row],[GroupByKey]]),(OutputTable[GroupByKey]=OutputTable[[#This Row],[GroupByKey]])*OutputTable[RecordedValue]))</f>
        <v>0.835591266164598</v>
      </c>
    </row>
    <row r="58" spans="1:16" x14ac:dyDescent="0.35">
      <c r="A58" t="s">
        <v>66</v>
      </c>
      <c r="B58" t="s">
        <v>69</v>
      </c>
      <c r="C58">
        <v>5</v>
      </c>
      <c r="D58" t="s">
        <v>104</v>
      </c>
      <c r="E58" t="s">
        <v>97</v>
      </c>
      <c r="F58" t="s">
        <v>86</v>
      </c>
      <c r="G58">
        <v>814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ProjectOp4.NumberSeizedTotal Number SeizedResource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10</v>
      </c>
      <c r="K58" s="5" cm="1">
        <f t="array" ref="K58">IFERROR(AVERAGE(IF((OutputTable[GroupByKey]=OutputTable[[#This Row],[GroupByKey]]),(OutputTable[GroupByKey]=OutputTable[[#This Row],[GroupByKey]])*OutputTable[RecordedValue])),0)</f>
        <v>815.5</v>
      </c>
      <c r="L58" s="5" cm="1">
        <f t="array" ref="L58">IFERROR(_xlfn.STDEV.S(IF((OutputTable[GroupByKey]=OutputTable[[#This Row],[GroupByKey]]),(OutputTable[GroupByKey]=OutputTable[[#This Row],[GroupByKey]])*OutputTable[RecordedValue])),0)</f>
        <v>3.6590830666833583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58" s="5" cm="1">
        <f t="array" ref="O58">MIN(IF((OutputTable[GroupByKey]=OutputTable[[#This Row],[GroupByKey]]),(OutputTable[GroupByKey]=OutputTable[[#This Row],[GroupByKey]])*OutputTable[RecordedValue]))</f>
        <v>811</v>
      </c>
      <c r="P58" s="5" cm="1">
        <f t="array" ref="P58">MAX(IF((OutputTable[GroupByKey]=OutputTable[[#This Row],[GroupByKey]]),(OutputTable[GroupByKey]=OutputTable[[#This Row],[GroupByKey]])*OutputTable[RecordedValue]))</f>
        <v>822</v>
      </c>
    </row>
    <row r="59" spans="1:16" x14ac:dyDescent="0.35">
      <c r="A59" t="s">
        <v>66</v>
      </c>
      <c r="B59" t="s">
        <v>69</v>
      </c>
      <c r="C59">
        <v>5</v>
      </c>
      <c r="D59" t="s">
        <v>105</v>
      </c>
      <c r="E59" t="s">
        <v>99</v>
      </c>
      <c r="F59" t="s">
        <v>86</v>
      </c>
      <c r="G59">
        <v>0.82868351310514399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10</v>
      </c>
      <c r="K59" s="5" cm="1">
        <f t="array" ref="K59">IFERROR(AVERAGE(IF((OutputTable[GroupByKey]=OutputTable[[#This Row],[GroupByKey]]),(OutputTable[GroupByKey]=OutputTable[[#This Row],[GroupByKey]])*OutputTable[RecordedValue])),0)</f>
        <v>0.83254124414775088</v>
      </c>
      <c r="L59" s="5" cm="1">
        <f t="array" ref="L59">IFERROR(_xlfn.STDEV.S(IF((OutputTable[GroupByKey]=OutputTable[[#This Row],[GroupByKey]]),(OutputTable[GroupByKey]=OutputTable[[#This Row],[GroupByKey]])*OutputTable[RecordedValue])),0)</f>
        <v>4.1141718378968446E-3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59" s="5" cm="1">
        <f t="array" ref="O59">MIN(IF((OutputTable[GroupByKey]=OutputTable[[#This Row],[GroupByKey]]),(OutputTable[GroupByKey]=OutputTable[[#This Row],[GroupByKey]])*OutputTable[RecordedValue]))</f>
        <v>0.82692860079846797</v>
      </c>
      <c r="P59" s="5" cm="1">
        <f t="array" ref="P59">MAX(IF((OutputTable[GroupByKey]=OutputTable[[#This Row],[GroupByKey]]),(OutputTable[GroupByKey]=OutputTable[[#This Row],[GroupByKey]])*OutputTable[RecordedValue]))</f>
        <v>0.83908808891262199</v>
      </c>
    </row>
    <row r="60" spans="1:16" x14ac:dyDescent="0.35">
      <c r="A60" t="s">
        <v>66</v>
      </c>
      <c r="B60" t="s">
        <v>69</v>
      </c>
      <c r="C60">
        <v>5</v>
      </c>
      <c r="D60" t="s">
        <v>106</v>
      </c>
      <c r="E60" t="s">
        <v>95</v>
      </c>
      <c r="F60" t="s">
        <v>107</v>
      </c>
      <c r="G60">
        <v>3539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ProjectSystem.NumberOutNumber OutSystem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10</v>
      </c>
      <c r="K60" s="5" cm="1">
        <f t="array" ref="K60">IFERROR(AVERAGE(IF((OutputTable[GroupByKey]=OutputTable[[#This Row],[GroupByKey]]),(OutputTable[GroupByKey]=OutputTable[[#This Row],[GroupByKey]])*OutputTable[RecordedValue])),0)</f>
        <v>3519.3</v>
      </c>
      <c r="L60" s="5" cm="1">
        <f t="array" ref="L60">IFERROR(_xlfn.STDEV.S(IF((OutputTable[GroupByKey]=OutputTable[[#This Row],[GroupByKey]]),(OutputTable[GroupByKey]=OutputTable[[#This Row],[GroupByKey]])*OutputTable[RecordedValue])),0)</f>
        <v>12.596736790843009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60" s="5" cm="1">
        <f t="array" ref="O60">MIN(IF((OutputTable[GroupByKey]=OutputTable[[#This Row],[GroupByKey]]),(OutputTable[GroupByKey]=OutputTable[[#This Row],[GroupByKey]])*OutputTable[RecordedValue]))</f>
        <v>3504</v>
      </c>
      <c r="P60" s="5" cm="1">
        <f t="array" ref="P60">MAX(IF((OutputTable[GroupByKey]=OutputTable[[#This Row],[GroupByKey]]),(OutputTable[GroupByKey]=OutputTable[[#This Row],[GroupByKey]])*OutputTable[RecordedValue]))</f>
        <v>3539</v>
      </c>
    </row>
    <row r="61" spans="1:16" x14ac:dyDescent="0.35">
      <c r="A61" t="s">
        <v>66</v>
      </c>
      <c r="B61" t="s">
        <v>69</v>
      </c>
      <c r="C61">
        <v>5</v>
      </c>
      <c r="D61" t="s">
        <v>108</v>
      </c>
      <c r="E61" t="s">
        <v>109</v>
      </c>
      <c r="F61" t="s">
        <v>110</v>
      </c>
      <c r="G61">
        <v>6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ProjecttidiSystemetOutputUser Specified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10</v>
      </c>
      <c r="K61" s="5" cm="1">
        <f t="array" ref="K61">IFERROR(AVERAGE(IF((OutputTable[GroupByKey]=OutputTable[[#This Row],[GroupByKey]]),(OutputTable[GroupByKey]=OutputTable[[#This Row],[GroupByKey]])*OutputTable[RecordedValue])),0)</f>
        <v>6</v>
      </c>
      <c r="L61" s="5" cm="1">
        <f t="array" ref="L61">IFERROR(_xlfn.STDEV.S(IF((OutputTable[GroupByKey]=OutputTable[[#This Row],[GroupByKey]]),(OutputTable[GroupByKey]=OutputTable[[#This Row],[GroupByKey]])*OutputTable[RecordedValue])),0)</f>
        <v>0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61" s="5" cm="1">
        <f t="array" ref="O61">MIN(IF((OutputTable[GroupByKey]=OutputTable[[#This Row],[GroupByKey]]),(OutputTable[GroupByKey]=OutputTable[[#This Row],[GroupByKey]])*OutputTable[RecordedValue]))</f>
        <v>6</v>
      </c>
      <c r="P61" s="5" cm="1">
        <f t="array" ref="P61">MAX(IF((OutputTable[GroupByKey]=OutputTable[[#This Row],[GroupByKey]]),(OutputTable[GroupByKey]=OutputTable[[#This Row],[GroupByKey]])*OutputTable[RecordedValue]))</f>
        <v>6</v>
      </c>
    </row>
    <row r="62" spans="1:16" x14ac:dyDescent="0.35">
      <c r="A62" t="s">
        <v>66</v>
      </c>
      <c r="B62" t="s">
        <v>69</v>
      </c>
      <c r="C62">
        <v>6</v>
      </c>
      <c r="D62" t="s">
        <v>92</v>
      </c>
      <c r="E62" t="s">
        <v>93</v>
      </c>
      <c r="F62" t="s">
        <v>72</v>
      </c>
      <c r="G62">
        <v>3531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ProjectByggsats.NumberInNumber InEntity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10</v>
      </c>
      <c r="K62" s="5" cm="1">
        <f t="array" ref="K62">IFERROR(AVERAGE(IF((OutputTable[GroupByKey]=OutputTable[[#This Row],[GroupByKey]]),(OutputTable[GroupByKey]=OutputTable[[#This Row],[GroupByKey]])*OutputTable[RecordedValue])),0)</f>
        <v>3523.8</v>
      </c>
      <c r="L62" s="5" cm="1">
        <f t="array" ref="L62">IFERROR(_xlfn.STDEV.S(IF((OutputTable[GroupByKey]=OutputTable[[#This Row],[GroupByKey]]),(OutputTable[GroupByKey]=OutputTable[[#This Row],[GroupByKey]])*OutputTable[RecordedValue])),0)</f>
        <v>12.35403667722507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62" s="5" cm="1">
        <f t="array" ref="O62">MIN(IF((OutputTable[GroupByKey]=OutputTable[[#This Row],[GroupByKey]]),(OutputTable[GroupByKey]=OutputTable[[#This Row],[GroupByKey]])*OutputTable[RecordedValue]))</f>
        <v>3509</v>
      </c>
      <c r="P62" s="5" cm="1">
        <f t="array" ref="P62">MAX(IF((OutputTable[GroupByKey]=OutputTable[[#This Row],[GroupByKey]]),(OutputTable[GroupByKey]=OutputTable[[#This Row],[GroupByKey]])*OutputTable[RecordedValue]))</f>
        <v>3543</v>
      </c>
    </row>
    <row r="63" spans="1:16" x14ac:dyDescent="0.35">
      <c r="A63" t="s">
        <v>66</v>
      </c>
      <c r="B63" t="s">
        <v>69</v>
      </c>
      <c r="C63">
        <v>6</v>
      </c>
      <c r="D63" t="s">
        <v>94</v>
      </c>
      <c r="E63" t="s">
        <v>95</v>
      </c>
      <c r="F63" t="s">
        <v>72</v>
      </c>
      <c r="G63">
        <v>3526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ProjectByggsats.NumberOutNumber OutEntity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10</v>
      </c>
      <c r="K63" s="5" cm="1">
        <f t="array" ref="K63">IFERROR(AVERAGE(IF((OutputTable[GroupByKey]=OutputTable[[#This Row],[GroupByKey]]),(OutputTable[GroupByKey]=OutputTable[[#This Row],[GroupByKey]])*OutputTable[RecordedValue])),0)</f>
        <v>3519.3</v>
      </c>
      <c r="L63" s="5" cm="1">
        <f t="array" ref="L63">IFERROR(_xlfn.STDEV.S(IF((OutputTable[GroupByKey]=OutputTable[[#This Row],[GroupByKey]]),(OutputTable[GroupByKey]=OutputTable[[#This Row],[GroupByKey]])*OutputTable[RecordedValue])),0)</f>
        <v>12.596736790843009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63" s="5" cm="1">
        <f t="array" ref="O63">MIN(IF((OutputTable[GroupByKey]=OutputTable[[#This Row],[GroupByKey]]),(OutputTable[GroupByKey]=OutputTable[[#This Row],[GroupByKey]])*OutputTable[RecordedValue]))</f>
        <v>3504</v>
      </c>
      <c r="P63" s="5" cm="1">
        <f t="array" ref="P63">MAX(IF((OutputTable[GroupByKey]=OutputTable[[#This Row],[GroupByKey]]),(OutputTable[GroupByKey]=OutputTable[[#This Row],[GroupByKey]])*OutputTable[RecordedValue]))</f>
        <v>3539</v>
      </c>
    </row>
    <row r="64" spans="1:16" x14ac:dyDescent="0.35">
      <c r="A64" t="s">
        <v>66</v>
      </c>
      <c r="B64" t="s">
        <v>69</v>
      </c>
      <c r="C64">
        <v>6</v>
      </c>
      <c r="D64" t="s">
        <v>96</v>
      </c>
      <c r="E64" t="s">
        <v>97</v>
      </c>
      <c r="F64" t="s">
        <v>86</v>
      </c>
      <c r="G64">
        <v>1343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ProjectOp1.NumberSeizedTotal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10</v>
      </c>
      <c r="K64" s="5" cm="1">
        <f t="array" ref="K64">IFERROR(AVERAGE(IF((OutputTable[GroupByKey]=OutputTable[[#This Row],[GroupByKey]]),(OutputTable[GroupByKey]=OutputTable[[#This Row],[GroupByKey]])*OutputTable[RecordedValue])),0)</f>
        <v>1322.1</v>
      </c>
      <c r="L64" s="5" cm="1">
        <f t="array" ref="L64">IFERROR(_xlfn.STDEV.S(IF((OutputTable[GroupByKey]=OutputTable[[#This Row],[GroupByKey]]),(OutputTable[GroupByKey]=OutputTable[[#This Row],[GroupByKey]])*OutputTable[RecordedValue])),0)</f>
        <v>16.434719346554107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64" s="5" cm="1">
        <f t="array" ref="O64">MIN(IF((OutputTable[GroupByKey]=OutputTable[[#This Row],[GroupByKey]]),(OutputTable[GroupByKey]=OutputTable[[#This Row],[GroupByKey]])*OutputTable[RecordedValue]))</f>
        <v>1291</v>
      </c>
      <c r="P64" s="5" cm="1">
        <f t="array" ref="P64">MAX(IF((OutputTable[GroupByKey]=OutputTable[[#This Row],[GroupByKey]]),(OutputTable[GroupByKey]=OutputTable[[#This Row],[GroupByKey]])*OutputTable[RecordedValue]))</f>
        <v>1345</v>
      </c>
    </row>
    <row r="65" spans="1:16" x14ac:dyDescent="0.35">
      <c r="A65" t="s">
        <v>66</v>
      </c>
      <c r="B65" t="s">
        <v>69</v>
      </c>
      <c r="C65">
        <v>6</v>
      </c>
      <c r="D65" t="s">
        <v>98</v>
      </c>
      <c r="E65" t="s">
        <v>99</v>
      </c>
      <c r="F65" t="s">
        <v>86</v>
      </c>
      <c r="G65">
        <v>0.60760355435819602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10</v>
      </c>
      <c r="K65" s="5" cm="1">
        <f t="array" ref="K65">IFERROR(AVERAGE(IF((OutputTable[GroupByKey]=OutputTable[[#This Row],[GroupByKey]]),(OutputTable[GroupByKey]=OutputTable[[#This Row],[GroupByKey]])*OutputTable[RecordedValue])),0)</f>
        <v>0.59561658015121266</v>
      </c>
      <c r="L65" s="5" cm="1">
        <f t="array" ref="L65">IFERROR(_xlfn.STDEV.S(IF((OutputTable[GroupByKey]=OutputTable[[#This Row],[GroupByKey]]),(OutputTable[GroupByKey]=OutputTable[[#This Row],[GroupByKey]])*OutputTable[RecordedValue])),0)</f>
        <v>8.1342721434722529E-3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65" s="5" cm="1">
        <f t="array" ref="O65">MIN(IF((OutputTable[GroupByKey]=OutputTable[[#This Row],[GroupByKey]]),(OutputTable[GroupByKey]=OutputTable[[#This Row],[GroupByKey]])*OutputTable[RecordedValue]))</f>
        <v>0.58095472748131705</v>
      </c>
      <c r="P65" s="5" cm="1">
        <f t="array" ref="P65">MAX(IF((OutputTable[GroupByKey]=OutputTable[[#This Row],[GroupByKey]]),(OutputTable[GroupByKey]=OutputTable[[#This Row],[GroupByKey]])*OutputTable[RecordedValue]))</f>
        <v>0.60761888382065699</v>
      </c>
    </row>
    <row r="66" spans="1:16" x14ac:dyDescent="0.35">
      <c r="A66" t="s">
        <v>66</v>
      </c>
      <c r="B66" t="s">
        <v>69</v>
      </c>
      <c r="C66">
        <v>6</v>
      </c>
      <c r="D66" t="s">
        <v>100</v>
      </c>
      <c r="E66" t="s">
        <v>97</v>
      </c>
      <c r="F66" t="s">
        <v>86</v>
      </c>
      <c r="G66">
        <v>831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ProjectOp2.NumberSeizedTotal Number SeizedResource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10</v>
      </c>
      <c r="K66" s="5" cm="1">
        <f t="array" ref="K66">IFERROR(AVERAGE(IF((OutputTable[GroupByKey]=OutputTable[[#This Row],[GroupByKey]]),(OutputTable[GroupByKey]=OutputTable[[#This Row],[GroupByKey]])*OutputTable[RecordedValue])),0)</f>
        <v>829.4</v>
      </c>
      <c r="L66" s="5" cm="1">
        <f t="array" ref="L66">IFERROR(_xlfn.STDEV.S(IF((OutputTable[GroupByKey]=OutputTable[[#This Row],[GroupByKey]]),(OutputTable[GroupByKey]=OutputTable[[#This Row],[GroupByKey]])*OutputTable[RecordedValue])),0)</f>
        <v>4.2739521132865619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66" s="5" cm="1">
        <f t="array" ref="O66">MIN(IF((OutputTable[GroupByKey]=OutputTable[[#This Row],[GroupByKey]]),(OutputTable[GroupByKey]=OutputTable[[#This Row],[GroupByKey]])*OutputTable[RecordedValue]))</f>
        <v>824</v>
      </c>
      <c r="P66" s="5" cm="1">
        <f t="array" ref="P66">MAX(IF((OutputTable[GroupByKey]=OutputTable[[#This Row],[GroupByKey]]),(OutputTable[GroupByKey]=OutputTable[[#This Row],[GroupByKey]])*OutputTable[RecordedValue]))</f>
        <v>836</v>
      </c>
    </row>
    <row r="67" spans="1:16" x14ac:dyDescent="0.35">
      <c r="A67" t="s">
        <v>66</v>
      </c>
      <c r="B67" t="s">
        <v>69</v>
      </c>
      <c r="C67">
        <v>6</v>
      </c>
      <c r="D67" t="s">
        <v>101</v>
      </c>
      <c r="E67" t="s">
        <v>99</v>
      </c>
      <c r="F67" t="s">
        <v>86</v>
      </c>
      <c r="G67">
        <v>0.80413625976071701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10</v>
      </c>
      <c r="K67" s="5" cm="1">
        <f t="array" ref="K67">IFERROR(AVERAGE(IF((OutputTable[GroupByKey]=OutputTable[[#This Row],[GroupByKey]]),(OutputTable[GroupByKey]=OutputTable[[#This Row],[GroupByKey]])*OutputTable[RecordedValue])),0)</f>
        <v>0.80260519246045448</v>
      </c>
      <c r="L67" s="5" cm="1">
        <f t="array" ref="L67">IFERROR(_xlfn.STDEV.S(IF((OutputTable[GroupByKey]=OutputTable[[#This Row],[GroupByKey]]),(OutputTable[GroupByKey]=OutputTable[[#This Row],[GroupByKey]])*OutputTable[RecordedValue])),0)</f>
        <v>5.033613012173632E-3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67" s="5" cm="1">
        <f t="array" ref="O67">MIN(IF((OutputTable[GroupByKey]=OutputTable[[#This Row],[GroupByKey]]),(OutputTable[GroupByKey]=OutputTable[[#This Row],[GroupByKey]])*OutputTable[RecordedValue]))</f>
        <v>0.79210128641287902</v>
      </c>
      <c r="P67" s="5" cm="1">
        <f t="array" ref="P67">MAX(IF((OutputTable[GroupByKey]=OutputTable[[#This Row],[GroupByKey]]),(OutputTable[GroupByKey]=OutputTable[[#This Row],[GroupByKey]])*OutputTable[RecordedValue]))</f>
        <v>0.80913537591663398</v>
      </c>
    </row>
    <row r="68" spans="1:16" x14ac:dyDescent="0.35">
      <c r="A68" t="s">
        <v>66</v>
      </c>
      <c r="B68" t="s">
        <v>69</v>
      </c>
      <c r="C68">
        <v>6</v>
      </c>
      <c r="D68" t="s">
        <v>102</v>
      </c>
      <c r="E68" t="s">
        <v>97</v>
      </c>
      <c r="F68" t="s">
        <v>86</v>
      </c>
      <c r="G68">
        <v>820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ProjectOp3.NumberSeizedTotal Number SeizedResource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10</v>
      </c>
      <c r="K68" s="5" cm="1">
        <f t="array" ref="K68">IFERROR(AVERAGE(IF((OutputTable[GroupByKey]=OutputTable[[#This Row],[GroupByKey]]),(OutputTable[GroupByKey]=OutputTable[[#This Row],[GroupByKey]])*OutputTable[RecordedValue])),0)</f>
        <v>815.3</v>
      </c>
      <c r="L68" s="5" cm="1">
        <f t="array" ref="L68">IFERROR(_xlfn.STDEV.S(IF((OutputTable[GroupByKey]=OutputTable[[#This Row],[GroupByKey]]),(OutputTable[GroupByKey]=OutputTable[[#This Row],[GroupByKey]])*OutputTable[RecordedValue])),0)</f>
        <v>2.5841396591085743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68" s="5" cm="1">
        <f t="array" ref="O68">MIN(IF((OutputTable[GroupByKey]=OutputTable[[#This Row],[GroupByKey]]),(OutputTable[GroupByKey]=OutputTable[[#This Row],[GroupByKey]])*OutputTable[RecordedValue]))</f>
        <v>812</v>
      </c>
      <c r="P68" s="5" cm="1">
        <f t="array" ref="P68">MAX(IF((OutputTable[GroupByKey]=OutputTable[[#This Row],[GroupByKey]]),(OutputTable[GroupByKey]=OutputTable[[#This Row],[GroupByKey]])*OutputTable[RecordedValue]))</f>
        <v>820</v>
      </c>
    </row>
    <row r="69" spans="1:16" x14ac:dyDescent="0.35">
      <c r="A69" t="s">
        <v>66</v>
      </c>
      <c r="B69" t="s">
        <v>69</v>
      </c>
      <c r="C69">
        <v>6</v>
      </c>
      <c r="D69" t="s">
        <v>103</v>
      </c>
      <c r="E69" t="s">
        <v>99</v>
      </c>
      <c r="F69" t="s">
        <v>86</v>
      </c>
      <c r="G69">
        <v>0.83556962527759304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10</v>
      </c>
      <c r="K69" s="5" cm="1">
        <f t="array" ref="K69">IFERROR(AVERAGE(IF((OutputTable[GroupByKey]=OutputTable[[#This Row],[GroupByKey]]),(OutputTable[GroupByKey]=OutputTable[[#This Row],[GroupByKey]])*OutputTable[RecordedValue])),0)</f>
        <v>0.83234137275869524</v>
      </c>
      <c r="L69" s="5" cm="1">
        <f t="array" ref="L69">IFERROR(_xlfn.STDEV.S(IF((OutputTable[GroupByKey]=OutputTable[[#This Row],[GroupByKey]]),(OutputTable[GroupByKey]=OutputTable[[#This Row],[GroupByKey]])*OutputTable[RecordedValue])),0)</f>
        <v>2.7440653084185238E-3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69" s="5" cm="1">
        <f t="array" ref="O69">MIN(IF((OutputTable[GroupByKey]=OutputTable[[#This Row],[GroupByKey]]),(OutputTable[GroupByKey]=OutputTable[[#This Row],[GroupByKey]])*OutputTable[RecordedValue]))</f>
        <v>0.82778443412963498</v>
      </c>
      <c r="P69" s="5" cm="1">
        <f t="array" ref="P69">MAX(IF((OutputTable[GroupByKey]=OutputTable[[#This Row],[GroupByKey]]),(OutputTable[GroupByKey]=OutputTable[[#This Row],[GroupByKey]])*OutputTable[RecordedValue]))</f>
        <v>0.835591266164598</v>
      </c>
    </row>
    <row r="70" spans="1:16" x14ac:dyDescent="0.35">
      <c r="A70" t="s">
        <v>66</v>
      </c>
      <c r="B70" t="s">
        <v>69</v>
      </c>
      <c r="C70">
        <v>6</v>
      </c>
      <c r="D70" t="s">
        <v>104</v>
      </c>
      <c r="E70" t="s">
        <v>97</v>
      </c>
      <c r="F70" t="s">
        <v>86</v>
      </c>
      <c r="G70">
        <v>815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ProjectOp4.NumberSeizedTotal Number SeizedResource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10</v>
      </c>
      <c r="K70" s="5" cm="1">
        <f t="array" ref="K70">IFERROR(AVERAGE(IF((OutputTable[GroupByKey]=OutputTable[[#This Row],[GroupByKey]]),(OutputTable[GroupByKey]=OutputTable[[#This Row],[GroupByKey]])*OutputTable[RecordedValue])),0)</f>
        <v>815.5</v>
      </c>
      <c r="L70" s="5" cm="1">
        <f t="array" ref="L70">IFERROR(_xlfn.STDEV.S(IF((OutputTable[GroupByKey]=OutputTable[[#This Row],[GroupByKey]]),(OutputTable[GroupByKey]=OutputTable[[#This Row],[GroupByKey]])*OutputTable[RecordedValue])),0)</f>
        <v>3.6590830666833583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70" s="5" cm="1">
        <f t="array" ref="O70">MIN(IF((OutputTable[GroupByKey]=OutputTable[[#This Row],[GroupByKey]]),(OutputTable[GroupByKey]=OutputTable[[#This Row],[GroupByKey]])*OutputTable[RecordedValue]))</f>
        <v>811</v>
      </c>
      <c r="P70" s="5" cm="1">
        <f t="array" ref="P70">MAX(IF((OutputTable[GroupByKey]=OutputTable[[#This Row],[GroupByKey]]),(OutputTable[GroupByKey]=OutputTable[[#This Row],[GroupByKey]])*OutputTable[RecordedValue]))</f>
        <v>822</v>
      </c>
    </row>
    <row r="71" spans="1:16" x14ac:dyDescent="0.35">
      <c r="A71" t="s">
        <v>66</v>
      </c>
      <c r="B71" t="s">
        <v>69</v>
      </c>
      <c r="C71">
        <v>6</v>
      </c>
      <c r="D71" t="s">
        <v>105</v>
      </c>
      <c r="E71" t="s">
        <v>99</v>
      </c>
      <c r="F71" t="s">
        <v>86</v>
      </c>
      <c r="G71">
        <v>0.83348302779352801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10</v>
      </c>
      <c r="K71" s="5" cm="1">
        <f t="array" ref="K71">IFERROR(AVERAGE(IF((OutputTable[GroupByKey]=OutputTable[[#This Row],[GroupByKey]]),(OutputTable[GroupByKey]=OutputTable[[#This Row],[GroupByKey]])*OutputTable[RecordedValue])),0)</f>
        <v>0.83254124414775088</v>
      </c>
      <c r="L71" s="5" cm="1">
        <f t="array" ref="L71">IFERROR(_xlfn.STDEV.S(IF((OutputTable[GroupByKey]=OutputTable[[#This Row],[GroupByKey]]),(OutputTable[GroupByKey]=OutputTable[[#This Row],[GroupByKey]])*OutputTable[RecordedValue])),0)</f>
        <v>4.1141718378968446E-3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71" s="5" cm="1">
        <f t="array" ref="O71">MIN(IF((OutputTable[GroupByKey]=OutputTable[[#This Row],[GroupByKey]]),(OutputTable[GroupByKey]=OutputTable[[#This Row],[GroupByKey]])*OutputTable[RecordedValue]))</f>
        <v>0.82692860079846797</v>
      </c>
      <c r="P71" s="5" cm="1">
        <f t="array" ref="P71">MAX(IF((OutputTable[GroupByKey]=OutputTable[[#This Row],[GroupByKey]]),(OutputTable[GroupByKey]=OutputTable[[#This Row],[GroupByKey]])*OutputTable[RecordedValue]))</f>
        <v>0.83908808891262199</v>
      </c>
    </row>
    <row r="72" spans="1:16" x14ac:dyDescent="0.35">
      <c r="A72" t="s">
        <v>66</v>
      </c>
      <c r="B72" t="s">
        <v>69</v>
      </c>
      <c r="C72">
        <v>6</v>
      </c>
      <c r="D72" t="s">
        <v>106</v>
      </c>
      <c r="E72" t="s">
        <v>95</v>
      </c>
      <c r="F72" t="s">
        <v>107</v>
      </c>
      <c r="G72">
        <v>3526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ProjectSystem.NumberOutNumber OutSystem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10</v>
      </c>
      <c r="K72" s="5" cm="1">
        <f t="array" ref="K72">IFERROR(AVERAGE(IF((OutputTable[GroupByKey]=OutputTable[[#This Row],[GroupByKey]]),(OutputTable[GroupByKey]=OutputTable[[#This Row],[GroupByKey]])*OutputTable[RecordedValue])),0)</f>
        <v>3519.3</v>
      </c>
      <c r="L72" s="5" cm="1">
        <f t="array" ref="L72">IFERROR(_xlfn.STDEV.S(IF((OutputTable[GroupByKey]=OutputTable[[#This Row],[GroupByKey]]),(OutputTable[GroupByKey]=OutputTable[[#This Row],[GroupByKey]])*OutputTable[RecordedValue])),0)</f>
        <v>12.596736790843009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72" s="5" cm="1">
        <f t="array" ref="O72">MIN(IF((OutputTable[GroupByKey]=OutputTable[[#This Row],[GroupByKey]]),(OutputTable[GroupByKey]=OutputTable[[#This Row],[GroupByKey]])*OutputTable[RecordedValue]))</f>
        <v>3504</v>
      </c>
      <c r="P72" s="5" cm="1">
        <f t="array" ref="P72">MAX(IF((OutputTable[GroupByKey]=OutputTable[[#This Row],[GroupByKey]]),(OutputTable[GroupByKey]=OutputTable[[#This Row],[GroupByKey]])*OutputTable[RecordedValue]))</f>
        <v>3539</v>
      </c>
    </row>
    <row r="73" spans="1:16" x14ac:dyDescent="0.35">
      <c r="A73" t="s">
        <v>66</v>
      </c>
      <c r="B73" t="s">
        <v>69</v>
      </c>
      <c r="C73">
        <v>6</v>
      </c>
      <c r="D73" t="s">
        <v>108</v>
      </c>
      <c r="E73" t="s">
        <v>109</v>
      </c>
      <c r="F73" t="s">
        <v>110</v>
      </c>
      <c r="G73">
        <v>6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ProjecttidiSystemetOutputUser Specified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10</v>
      </c>
      <c r="K73" s="5" cm="1">
        <f t="array" ref="K73">IFERROR(AVERAGE(IF((OutputTable[GroupByKey]=OutputTable[[#This Row],[GroupByKey]]),(OutputTable[GroupByKey]=OutputTable[[#This Row],[GroupByKey]])*OutputTable[RecordedValue])),0)</f>
        <v>6</v>
      </c>
      <c r="L73" s="5" cm="1">
        <f t="array" ref="L73">IFERROR(_xlfn.STDEV.S(IF((OutputTable[GroupByKey]=OutputTable[[#This Row],[GroupByKey]]),(OutputTable[GroupByKey]=OutputTable[[#This Row],[GroupByKey]])*OutputTable[RecordedValue])),0)</f>
        <v>0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73" s="5" cm="1">
        <f t="array" ref="O73">MIN(IF((OutputTable[GroupByKey]=OutputTable[[#This Row],[GroupByKey]]),(OutputTable[GroupByKey]=OutputTable[[#This Row],[GroupByKey]])*OutputTable[RecordedValue]))</f>
        <v>6</v>
      </c>
      <c r="P73" s="5" cm="1">
        <f t="array" ref="P73">MAX(IF((OutputTable[GroupByKey]=OutputTable[[#This Row],[GroupByKey]]),(OutputTable[GroupByKey]=OutputTable[[#This Row],[GroupByKey]])*OutputTable[RecordedValue]))</f>
        <v>6</v>
      </c>
    </row>
    <row r="74" spans="1:16" x14ac:dyDescent="0.35">
      <c r="A74" t="s">
        <v>66</v>
      </c>
      <c r="B74" t="s">
        <v>69</v>
      </c>
      <c r="C74">
        <v>7</v>
      </c>
      <c r="D74" t="s">
        <v>92</v>
      </c>
      <c r="E74" t="s">
        <v>93</v>
      </c>
      <c r="F74" t="s">
        <v>72</v>
      </c>
      <c r="G74">
        <v>3529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ProjectByggsats.NumberInNumber InEntity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10</v>
      </c>
      <c r="K74" s="5" cm="1">
        <f t="array" ref="K74">IFERROR(AVERAGE(IF((OutputTable[GroupByKey]=OutputTable[[#This Row],[GroupByKey]]),(OutputTable[GroupByKey]=OutputTable[[#This Row],[GroupByKey]])*OutputTable[RecordedValue])),0)</f>
        <v>3523.8</v>
      </c>
      <c r="L74" s="5" cm="1">
        <f t="array" ref="L74">IFERROR(_xlfn.STDEV.S(IF((OutputTable[GroupByKey]=OutputTable[[#This Row],[GroupByKey]]),(OutputTable[GroupByKey]=OutputTable[[#This Row],[GroupByKey]])*OutputTable[RecordedValue])),0)</f>
        <v>12.35403667722507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74" s="5" cm="1">
        <f t="array" ref="O74">MIN(IF((OutputTable[GroupByKey]=OutputTable[[#This Row],[GroupByKey]]),(OutputTable[GroupByKey]=OutputTable[[#This Row],[GroupByKey]])*OutputTable[RecordedValue]))</f>
        <v>3509</v>
      </c>
      <c r="P74" s="5" cm="1">
        <f t="array" ref="P74">MAX(IF((OutputTable[GroupByKey]=OutputTable[[#This Row],[GroupByKey]]),(OutputTable[GroupByKey]=OutputTable[[#This Row],[GroupByKey]])*OutputTable[RecordedValue]))</f>
        <v>3543</v>
      </c>
    </row>
    <row r="75" spans="1:16" x14ac:dyDescent="0.35">
      <c r="A75" t="s">
        <v>66</v>
      </c>
      <c r="B75" t="s">
        <v>69</v>
      </c>
      <c r="C75">
        <v>7</v>
      </c>
      <c r="D75" t="s">
        <v>94</v>
      </c>
      <c r="E75" t="s">
        <v>95</v>
      </c>
      <c r="F75" t="s">
        <v>72</v>
      </c>
      <c r="G75">
        <v>3524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ProjectByggsats.NumberOutNumber OutEntity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10</v>
      </c>
      <c r="K75" s="5" cm="1">
        <f t="array" ref="K75">IFERROR(AVERAGE(IF((OutputTable[GroupByKey]=OutputTable[[#This Row],[GroupByKey]]),(OutputTable[GroupByKey]=OutputTable[[#This Row],[GroupByKey]])*OutputTable[RecordedValue])),0)</f>
        <v>3519.3</v>
      </c>
      <c r="L75" s="5" cm="1">
        <f t="array" ref="L75">IFERROR(_xlfn.STDEV.S(IF((OutputTable[GroupByKey]=OutputTable[[#This Row],[GroupByKey]]),(OutputTable[GroupByKey]=OutputTable[[#This Row],[GroupByKey]])*OutputTable[RecordedValue])),0)</f>
        <v>12.596736790843009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75" s="5" cm="1">
        <f t="array" ref="O75">MIN(IF((OutputTable[GroupByKey]=OutputTable[[#This Row],[GroupByKey]]),(OutputTable[GroupByKey]=OutputTable[[#This Row],[GroupByKey]])*OutputTable[RecordedValue]))</f>
        <v>3504</v>
      </c>
      <c r="P75" s="5" cm="1">
        <f t="array" ref="P75">MAX(IF((OutputTable[GroupByKey]=OutputTable[[#This Row],[GroupByKey]]),(OutputTable[GroupByKey]=OutputTable[[#This Row],[GroupByKey]])*OutputTable[RecordedValue]))</f>
        <v>3539</v>
      </c>
    </row>
    <row r="76" spans="1:16" x14ac:dyDescent="0.35">
      <c r="A76" t="s">
        <v>66</v>
      </c>
      <c r="B76" t="s">
        <v>69</v>
      </c>
      <c r="C76">
        <v>7</v>
      </c>
      <c r="D76" t="s">
        <v>96</v>
      </c>
      <c r="E76" t="s">
        <v>97</v>
      </c>
      <c r="F76" t="s">
        <v>86</v>
      </c>
      <c r="G76">
        <v>1345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ProjectOp1.NumberSeizedTotal Number SeizedResource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10</v>
      </c>
      <c r="K76" s="5" cm="1">
        <f t="array" ref="K76">IFERROR(AVERAGE(IF((OutputTable[GroupByKey]=OutputTable[[#This Row],[GroupByKey]]),(OutputTable[GroupByKey]=OutputTable[[#This Row],[GroupByKey]])*OutputTable[RecordedValue])),0)</f>
        <v>1322.1</v>
      </c>
      <c r="L76" s="5" cm="1">
        <f t="array" ref="L76">IFERROR(_xlfn.STDEV.S(IF((OutputTable[GroupByKey]=OutputTable[[#This Row],[GroupByKey]]),(OutputTable[GroupByKey]=OutputTable[[#This Row],[GroupByKey]])*OutputTable[RecordedValue])),0)</f>
        <v>16.434719346554107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76" s="5" cm="1">
        <f t="array" ref="O76">MIN(IF((OutputTable[GroupByKey]=OutputTable[[#This Row],[GroupByKey]]),(OutputTable[GroupByKey]=OutputTable[[#This Row],[GroupByKey]])*OutputTable[RecordedValue]))</f>
        <v>1291</v>
      </c>
      <c r="P76" s="5" cm="1">
        <f t="array" ref="P76">MAX(IF((OutputTable[GroupByKey]=OutputTable[[#This Row],[GroupByKey]]),(OutputTable[GroupByKey]=OutputTable[[#This Row],[GroupByKey]])*OutputTable[RecordedValue]))</f>
        <v>1345</v>
      </c>
    </row>
    <row r="77" spans="1:16" x14ac:dyDescent="0.35">
      <c r="A77" t="s">
        <v>66</v>
      </c>
      <c r="B77" t="s">
        <v>69</v>
      </c>
      <c r="C77">
        <v>7</v>
      </c>
      <c r="D77" t="s">
        <v>98</v>
      </c>
      <c r="E77" t="s">
        <v>99</v>
      </c>
      <c r="F77" t="s">
        <v>86</v>
      </c>
      <c r="G77">
        <v>0.60761888382065699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10</v>
      </c>
      <c r="K77" s="5" cm="1">
        <f t="array" ref="K77">IFERROR(AVERAGE(IF((OutputTable[GroupByKey]=OutputTable[[#This Row],[GroupByKey]]),(OutputTable[GroupByKey]=OutputTable[[#This Row],[GroupByKey]])*OutputTable[RecordedValue])),0)</f>
        <v>0.59561658015121266</v>
      </c>
      <c r="L77" s="5" cm="1">
        <f t="array" ref="L77">IFERROR(_xlfn.STDEV.S(IF((OutputTable[GroupByKey]=OutputTable[[#This Row],[GroupByKey]]),(OutputTable[GroupByKey]=OutputTable[[#This Row],[GroupByKey]])*OutputTable[RecordedValue])),0)</f>
        <v>8.1342721434722529E-3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77" s="5" cm="1">
        <f t="array" ref="O77">MIN(IF((OutputTable[GroupByKey]=OutputTable[[#This Row],[GroupByKey]]),(OutputTable[GroupByKey]=OutputTable[[#This Row],[GroupByKey]])*OutputTable[RecordedValue]))</f>
        <v>0.58095472748131705</v>
      </c>
      <c r="P77" s="5" cm="1">
        <f t="array" ref="P77">MAX(IF((OutputTable[GroupByKey]=OutputTable[[#This Row],[GroupByKey]]),(OutputTable[GroupByKey]=OutputTable[[#This Row],[GroupByKey]])*OutputTable[RecordedValue]))</f>
        <v>0.60761888382065699</v>
      </c>
    </row>
    <row r="78" spans="1:16" x14ac:dyDescent="0.35">
      <c r="A78" t="s">
        <v>66</v>
      </c>
      <c r="B78" t="s">
        <v>69</v>
      </c>
      <c r="C78">
        <v>7</v>
      </c>
      <c r="D78" t="s">
        <v>100</v>
      </c>
      <c r="E78" t="s">
        <v>97</v>
      </c>
      <c r="F78" t="s">
        <v>86</v>
      </c>
      <c r="G78">
        <v>836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ProjectOp2.NumberSeizedTotal Number SeizedResource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10</v>
      </c>
      <c r="K78" s="5" cm="1">
        <f t="array" ref="K78">IFERROR(AVERAGE(IF((OutputTable[GroupByKey]=OutputTable[[#This Row],[GroupByKey]]),(OutputTable[GroupByKey]=OutputTable[[#This Row],[GroupByKey]])*OutputTable[RecordedValue])),0)</f>
        <v>829.4</v>
      </c>
      <c r="L78" s="5" cm="1">
        <f t="array" ref="L78">IFERROR(_xlfn.STDEV.S(IF((OutputTable[GroupByKey]=OutputTable[[#This Row],[GroupByKey]]),(OutputTable[GroupByKey]=OutputTable[[#This Row],[GroupByKey]])*OutputTable[RecordedValue])),0)</f>
        <v>4.2739521132865619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78" s="5" cm="1">
        <f t="array" ref="O78">MIN(IF((OutputTable[GroupByKey]=OutputTable[[#This Row],[GroupByKey]]),(OutputTable[GroupByKey]=OutputTable[[#This Row],[GroupByKey]])*OutputTable[RecordedValue]))</f>
        <v>824</v>
      </c>
      <c r="P78" s="5" cm="1">
        <f t="array" ref="P78">MAX(IF((OutputTable[GroupByKey]=OutputTable[[#This Row],[GroupByKey]]),(OutputTable[GroupByKey]=OutputTable[[#This Row],[GroupByKey]])*OutputTable[RecordedValue]))</f>
        <v>836</v>
      </c>
    </row>
    <row r="79" spans="1:16" x14ac:dyDescent="0.35">
      <c r="A79" t="s">
        <v>66</v>
      </c>
      <c r="B79" t="s">
        <v>69</v>
      </c>
      <c r="C79">
        <v>7</v>
      </c>
      <c r="D79" t="s">
        <v>101</v>
      </c>
      <c r="E79" t="s">
        <v>99</v>
      </c>
      <c r="F79" t="s">
        <v>86</v>
      </c>
      <c r="G79">
        <v>0.80913537591663398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10</v>
      </c>
      <c r="K79" s="5" cm="1">
        <f t="array" ref="K79">IFERROR(AVERAGE(IF((OutputTable[GroupByKey]=OutputTable[[#This Row],[GroupByKey]]),(OutputTable[GroupByKey]=OutputTable[[#This Row],[GroupByKey]])*OutputTable[RecordedValue])),0)</f>
        <v>0.80260519246045448</v>
      </c>
      <c r="L79" s="5" cm="1">
        <f t="array" ref="L79">IFERROR(_xlfn.STDEV.S(IF((OutputTable[GroupByKey]=OutputTable[[#This Row],[GroupByKey]]),(OutputTable[GroupByKey]=OutputTable[[#This Row],[GroupByKey]])*OutputTable[RecordedValue])),0)</f>
        <v>5.033613012173632E-3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79" s="5" cm="1">
        <f t="array" ref="O79">MIN(IF((OutputTable[GroupByKey]=OutputTable[[#This Row],[GroupByKey]]),(OutputTable[GroupByKey]=OutputTable[[#This Row],[GroupByKey]])*OutputTable[RecordedValue]))</f>
        <v>0.79210128641287902</v>
      </c>
      <c r="P79" s="5" cm="1">
        <f t="array" ref="P79">MAX(IF((OutputTable[GroupByKey]=OutputTable[[#This Row],[GroupByKey]]),(OutputTable[GroupByKey]=OutputTable[[#This Row],[GroupByKey]])*OutputTable[RecordedValue]))</f>
        <v>0.80913537591663398</v>
      </c>
    </row>
    <row r="80" spans="1:16" x14ac:dyDescent="0.35">
      <c r="A80" t="s">
        <v>66</v>
      </c>
      <c r="B80" t="s">
        <v>69</v>
      </c>
      <c r="C80">
        <v>7</v>
      </c>
      <c r="D80" t="s">
        <v>102</v>
      </c>
      <c r="E80" t="s">
        <v>97</v>
      </c>
      <c r="F80" t="s">
        <v>86</v>
      </c>
      <c r="G80">
        <v>814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ProjectOp3.NumberSeizedTotal Number SeizedResource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10</v>
      </c>
      <c r="K80" s="5" cm="1">
        <f t="array" ref="K80">IFERROR(AVERAGE(IF((OutputTable[GroupByKey]=OutputTable[[#This Row],[GroupByKey]]),(OutputTable[GroupByKey]=OutputTable[[#This Row],[GroupByKey]])*OutputTable[RecordedValue])),0)</f>
        <v>815.3</v>
      </c>
      <c r="L80" s="5" cm="1">
        <f t="array" ref="L80">IFERROR(_xlfn.STDEV.S(IF((OutputTable[GroupByKey]=OutputTable[[#This Row],[GroupByKey]]),(OutputTable[GroupByKey]=OutputTable[[#This Row],[GroupByKey]])*OutputTable[RecordedValue])),0)</f>
        <v>2.5841396591085743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80" s="5" cm="1">
        <f t="array" ref="O80">MIN(IF((OutputTable[GroupByKey]=OutputTable[[#This Row],[GroupByKey]]),(OutputTable[GroupByKey]=OutputTable[[#This Row],[GroupByKey]])*OutputTable[RecordedValue]))</f>
        <v>812</v>
      </c>
      <c r="P80" s="5" cm="1">
        <f t="array" ref="P80">MAX(IF((OutputTable[GroupByKey]=OutputTable[[#This Row],[GroupByKey]]),(OutputTable[GroupByKey]=OutputTable[[#This Row],[GroupByKey]])*OutputTable[RecordedValue]))</f>
        <v>820</v>
      </c>
    </row>
    <row r="81" spans="1:16" x14ac:dyDescent="0.35">
      <c r="A81" t="s">
        <v>66</v>
      </c>
      <c r="B81" t="s">
        <v>69</v>
      </c>
      <c r="C81">
        <v>7</v>
      </c>
      <c r="D81" t="s">
        <v>103</v>
      </c>
      <c r="E81" t="s">
        <v>99</v>
      </c>
      <c r="F81" t="s">
        <v>86</v>
      </c>
      <c r="G81">
        <v>0.83288388141004499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10</v>
      </c>
      <c r="K81" s="5" cm="1">
        <f t="array" ref="K81">IFERROR(AVERAGE(IF((OutputTable[GroupByKey]=OutputTable[[#This Row],[GroupByKey]]),(OutputTable[GroupByKey]=OutputTable[[#This Row],[GroupByKey]])*OutputTable[RecordedValue])),0)</f>
        <v>0.83234137275869524</v>
      </c>
      <c r="L81" s="5" cm="1">
        <f t="array" ref="L81">IFERROR(_xlfn.STDEV.S(IF((OutputTable[GroupByKey]=OutputTable[[#This Row],[GroupByKey]]),(OutputTable[GroupByKey]=OutputTable[[#This Row],[GroupByKey]])*OutputTable[RecordedValue])),0)</f>
        <v>2.7440653084185238E-3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81" s="5" cm="1">
        <f t="array" ref="O81">MIN(IF((OutputTable[GroupByKey]=OutputTable[[#This Row],[GroupByKey]]),(OutputTable[GroupByKey]=OutputTable[[#This Row],[GroupByKey]])*OutputTable[RecordedValue]))</f>
        <v>0.82778443412963498</v>
      </c>
      <c r="P81" s="5" cm="1">
        <f t="array" ref="P81">MAX(IF((OutputTable[GroupByKey]=OutputTable[[#This Row],[GroupByKey]]),(OutputTable[GroupByKey]=OutputTable[[#This Row],[GroupByKey]])*OutputTable[RecordedValue]))</f>
        <v>0.835591266164598</v>
      </c>
    </row>
    <row r="82" spans="1:16" x14ac:dyDescent="0.35">
      <c r="A82" t="s">
        <v>66</v>
      </c>
      <c r="B82" t="s">
        <v>69</v>
      </c>
      <c r="C82">
        <v>7</v>
      </c>
      <c r="D82" t="s">
        <v>104</v>
      </c>
      <c r="E82" t="s">
        <v>97</v>
      </c>
      <c r="F82" t="s">
        <v>86</v>
      </c>
      <c r="G82">
        <v>822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ProjectOp4.NumberSeizedTotal Number SeizedResource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10</v>
      </c>
      <c r="K82" s="5" cm="1">
        <f t="array" ref="K82">IFERROR(AVERAGE(IF((OutputTable[GroupByKey]=OutputTable[[#This Row],[GroupByKey]]),(OutputTable[GroupByKey]=OutputTable[[#This Row],[GroupByKey]])*OutputTable[RecordedValue])),0)</f>
        <v>815.5</v>
      </c>
      <c r="L82" s="5" cm="1">
        <f t="array" ref="L82">IFERROR(_xlfn.STDEV.S(IF((OutputTable[GroupByKey]=OutputTable[[#This Row],[GroupByKey]]),(OutputTable[GroupByKey]=OutputTable[[#This Row],[GroupByKey]])*OutputTable[RecordedValue])),0)</f>
        <v>3.6590830666833583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82" s="5" cm="1">
        <f t="array" ref="O82">MIN(IF((OutputTable[GroupByKey]=OutputTable[[#This Row],[GroupByKey]]),(OutputTable[GroupByKey]=OutputTable[[#This Row],[GroupByKey]])*OutputTable[RecordedValue]))</f>
        <v>811</v>
      </c>
      <c r="P82" s="5" cm="1">
        <f t="array" ref="P82">MAX(IF((OutputTable[GroupByKey]=OutputTable[[#This Row],[GroupByKey]]),(OutputTable[GroupByKey]=OutputTable[[#This Row],[GroupByKey]])*OutputTable[RecordedValue]))</f>
        <v>822</v>
      </c>
    </row>
    <row r="83" spans="1:16" x14ac:dyDescent="0.35">
      <c r="A83" t="s">
        <v>66</v>
      </c>
      <c r="B83" t="s">
        <v>69</v>
      </c>
      <c r="C83">
        <v>7</v>
      </c>
      <c r="D83" t="s">
        <v>105</v>
      </c>
      <c r="E83" t="s">
        <v>99</v>
      </c>
      <c r="F83" t="s">
        <v>86</v>
      </c>
      <c r="G83">
        <v>0.83908808891262199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10</v>
      </c>
      <c r="K83" s="5" cm="1">
        <f t="array" ref="K83">IFERROR(AVERAGE(IF((OutputTable[GroupByKey]=OutputTable[[#This Row],[GroupByKey]]),(OutputTable[GroupByKey]=OutputTable[[#This Row],[GroupByKey]])*OutputTable[RecordedValue])),0)</f>
        <v>0.83254124414775088</v>
      </c>
      <c r="L83" s="5" cm="1">
        <f t="array" ref="L83">IFERROR(_xlfn.STDEV.S(IF((OutputTable[GroupByKey]=OutputTable[[#This Row],[GroupByKey]]),(OutputTable[GroupByKey]=OutputTable[[#This Row],[GroupByKey]])*OutputTable[RecordedValue])),0)</f>
        <v>4.1141718378968446E-3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83" s="5" cm="1">
        <f t="array" ref="O83">MIN(IF((OutputTable[GroupByKey]=OutputTable[[#This Row],[GroupByKey]]),(OutputTable[GroupByKey]=OutputTable[[#This Row],[GroupByKey]])*OutputTable[RecordedValue]))</f>
        <v>0.82692860079846797</v>
      </c>
      <c r="P83" s="5" cm="1">
        <f t="array" ref="P83">MAX(IF((OutputTable[GroupByKey]=OutputTable[[#This Row],[GroupByKey]]),(OutputTable[GroupByKey]=OutputTable[[#This Row],[GroupByKey]])*OutputTable[RecordedValue]))</f>
        <v>0.83908808891262199</v>
      </c>
    </row>
    <row r="84" spans="1:16" x14ac:dyDescent="0.35">
      <c r="A84" t="s">
        <v>66</v>
      </c>
      <c r="B84" t="s">
        <v>69</v>
      </c>
      <c r="C84">
        <v>7</v>
      </c>
      <c r="D84" t="s">
        <v>106</v>
      </c>
      <c r="E84" t="s">
        <v>95</v>
      </c>
      <c r="F84" t="s">
        <v>107</v>
      </c>
      <c r="G84">
        <v>3524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ProjectSystem.NumberOutNumber OutSystem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10</v>
      </c>
      <c r="K84" s="5" cm="1">
        <f t="array" ref="K84">IFERROR(AVERAGE(IF((OutputTable[GroupByKey]=OutputTable[[#This Row],[GroupByKey]]),(OutputTable[GroupByKey]=OutputTable[[#This Row],[GroupByKey]])*OutputTable[RecordedValue])),0)</f>
        <v>3519.3</v>
      </c>
      <c r="L84" s="5" cm="1">
        <f t="array" ref="L84">IFERROR(_xlfn.STDEV.S(IF((OutputTable[GroupByKey]=OutputTable[[#This Row],[GroupByKey]]),(OutputTable[GroupByKey]=OutputTable[[#This Row],[GroupByKey]])*OutputTable[RecordedValue])),0)</f>
        <v>12.596736790843009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84" s="5" cm="1">
        <f t="array" ref="O84">MIN(IF((OutputTable[GroupByKey]=OutputTable[[#This Row],[GroupByKey]]),(OutputTable[GroupByKey]=OutputTable[[#This Row],[GroupByKey]])*OutputTable[RecordedValue]))</f>
        <v>3504</v>
      </c>
      <c r="P84" s="5" cm="1">
        <f t="array" ref="P84">MAX(IF((OutputTable[GroupByKey]=OutputTable[[#This Row],[GroupByKey]]),(OutputTable[GroupByKey]=OutputTable[[#This Row],[GroupByKey]])*OutputTable[RecordedValue]))</f>
        <v>3539</v>
      </c>
    </row>
    <row r="85" spans="1:16" x14ac:dyDescent="0.35">
      <c r="A85" t="s">
        <v>66</v>
      </c>
      <c r="B85" t="s">
        <v>69</v>
      </c>
      <c r="C85">
        <v>7</v>
      </c>
      <c r="D85" t="s">
        <v>108</v>
      </c>
      <c r="E85" t="s">
        <v>109</v>
      </c>
      <c r="F85" t="s">
        <v>110</v>
      </c>
      <c r="G85">
        <v>6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ProjecttidiSystemetOutputUser Specified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10</v>
      </c>
      <c r="K85" s="5" cm="1">
        <f t="array" ref="K85">IFERROR(AVERAGE(IF((OutputTable[GroupByKey]=OutputTable[[#This Row],[GroupByKey]]),(OutputTable[GroupByKey]=OutputTable[[#This Row],[GroupByKey]])*OutputTable[RecordedValue])),0)</f>
        <v>6</v>
      </c>
      <c r="L85" s="5" cm="1">
        <f t="array" ref="L85">IFERROR(_xlfn.STDEV.S(IF((OutputTable[GroupByKey]=OutputTable[[#This Row],[GroupByKey]]),(OutputTable[GroupByKey]=OutputTable[[#This Row],[GroupByKey]])*OutputTable[RecordedValue])),0)</f>
        <v>0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85" s="5" cm="1">
        <f t="array" ref="O85">MIN(IF((OutputTable[GroupByKey]=OutputTable[[#This Row],[GroupByKey]]),(OutputTable[GroupByKey]=OutputTable[[#This Row],[GroupByKey]])*OutputTable[RecordedValue]))</f>
        <v>6</v>
      </c>
      <c r="P85" s="5" cm="1">
        <f t="array" ref="P85">MAX(IF((OutputTable[GroupByKey]=OutputTable[[#This Row],[GroupByKey]]),(OutputTable[GroupByKey]=OutputTable[[#This Row],[GroupByKey]])*OutputTable[RecordedValue]))</f>
        <v>6</v>
      </c>
    </row>
    <row r="86" spans="1:16" x14ac:dyDescent="0.35">
      <c r="A86" t="s">
        <v>66</v>
      </c>
      <c r="B86" t="s">
        <v>69</v>
      </c>
      <c r="C86">
        <v>8</v>
      </c>
      <c r="D86" t="s">
        <v>92</v>
      </c>
      <c r="E86" t="s">
        <v>93</v>
      </c>
      <c r="F86" t="s">
        <v>72</v>
      </c>
      <c r="G86">
        <v>3538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ProjectByggsats.NumberInNumber InEntity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10</v>
      </c>
      <c r="K86" s="5" cm="1">
        <f t="array" ref="K86">IFERROR(AVERAGE(IF((OutputTable[GroupByKey]=OutputTable[[#This Row],[GroupByKey]]),(OutputTable[GroupByKey]=OutputTable[[#This Row],[GroupByKey]])*OutputTable[RecordedValue])),0)</f>
        <v>3523.8</v>
      </c>
      <c r="L86" s="5" cm="1">
        <f t="array" ref="L86">IFERROR(_xlfn.STDEV.S(IF((OutputTable[GroupByKey]=OutputTable[[#This Row],[GroupByKey]]),(OutputTable[GroupByKey]=OutputTable[[#This Row],[GroupByKey]])*OutputTable[RecordedValue])),0)</f>
        <v>12.35403667722507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86" s="5" cm="1">
        <f t="array" ref="O86">MIN(IF((OutputTable[GroupByKey]=OutputTable[[#This Row],[GroupByKey]]),(OutputTable[GroupByKey]=OutputTable[[#This Row],[GroupByKey]])*OutputTable[RecordedValue]))</f>
        <v>3509</v>
      </c>
      <c r="P86" s="5" cm="1">
        <f t="array" ref="P86">MAX(IF((OutputTable[GroupByKey]=OutputTable[[#This Row],[GroupByKey]]),(OutputTable[GroupByKey]=OutputTable[[#This Row],[GroupByKey]])*OutputTable[RecordedValue]))</f>
        <v>3543</v>
      </c>
    </row>
    <row r="87" spans="1:16" x14ac:dyDescent="0.35">
      <c r="A87" t="s">
        <v>66</v>
      </c>
      <c r="B87" t="s">
        <v>69</v>
      </c>
      <c r="C87">
        <v>8</v>
      </c>
      <c r="D87" t="s">
        <v>94</v>
      </c>
      <c r="E87" t="s">
        <v>95</v>
      </c>
      <c r="F87" t="s">
        <v>72</v>
      </c>
      <c r="G87">
        <v>3534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ProjectByggsats.NumberOutNumber OutEntity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10</v>
      </c>
      <c r="K87" s="5" cm="1">
        <f t="array" ref="K87">IFERROR(AVERAGE(IF((OutputTable[GroupByKey]=OutputTable[[#This Row],[GroupByKey]]),(OutputTable[GroupByKey]=OutputTable[[#This Row],[GroupByKey]])*OutputTable[RecordedValue])),0)</f>
        <v>3519.3</v>
      </c>
      <c r="L87" s="5" cm="1">
        <f t="array" ref="L87">IFERROR(_xlfn.STDEV.S(IF((OutputTable[GroupByKey]=OutputTable[[#This Row],[GroupByKey]]),(OutputTable[GroupByKey]=OutputTable[[#This Row],[GroupByKey]])*OutputTable[RecordedValue])),0)</f>
        <v>12.596736790843009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87" s="5" cm="1">
        <f t="array" ref="O87">MIN(IF((OutputTable[GroupByKey]=OutputTable[[#This Row],[GroupByKey]]),(OutputTable[GroupByKey]=OutputTable[[#This Row],[GroupByKey]])*OutputTable[RecordedValue]))</f>
        <v>3504</v>
      </c>
      <c r="P87" s="5" cm="1">
        <f t="array" ref="P87">MAX(IF((OutputTable[GroupByKey]=OutputTable[[#This Row],[GroupByKey]]),(OutputTable[GroupByKey]=OutputTable[[#This Row],[GroupByKey]])*OutputTable[RecordedValue]))</f>
        <v>3539</v>
      </c>
    </row>
    <row r="88" spans="1:16" x14ac:dyDescent="0.35">
      <c r="A88" t="s">
        <v>66</v>
      </c>
      <c r="B88" t="s">
        <v>69</v>
      </c>
      <c r="C88">
        <v>8</v>
      </c>
      <c r="D88" t="s">
        <v>96</v>
      </c>
      <c r="E88" t="s">
        <v>97</v>
      </c>
      <c r="F88" t="s">
        <v>86</v>
      </c>
      <c r="G88">
        <v>1324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ProjectOp1.NumberSeizedTotal Number SeizedResource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10</v>
      </c>
      <c r="K88" s="5" cm="1">
        <f t="array" ref="K88">IFERROR(AVERAGE(IF((OutputTable[GroupByKey]=OutputTable[[#This Row],[GroupByKey]]),(OutputTable[GroupByKey]=OutputTable[[#This Row],[GroupByKey]])*OutputTable[RecordedValue])),0)</f>
        <v>1322.1</v>
      </c>
      <c r="L88" s="5" cm="1">
        <f t="array" ref="L88">IFERROR(_xlfn.STDEV.S(IF((OutputTable[GroupByKey]=OutputTable[[#This Row],[GroupByKey]]),(OutputTable[GroupByKey]=OutputTable[[#This Row],[GroupByKey]])*OutputTable[RecordedValue])),0)</f>
        <v>16.434719346554107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88" s="5" cm="1">
        <f t="array" ref="O88">MIN(IF((OutputTable[GroupByKey]=OutputTable[[#This Row],[GroupByKey]]),(OutputTable[GroupByKey]=OutputTable[[#This Row],[GroupByKey]])*OutputTable[RecordedValue]))</f>
        <v>1291</v>
      </c>
      <c r="P88" s="5" cm="1">
        <f t="array" ref="P88">MAX(IF((OutputTable[GroupByKey]=OutputTable[[#This Row],[GroupByKey]]),(OutputTable[GroupByKey]=OutputTable[[#This Row],[GroupByKey]])*OutputTable[RecordedValue]))</f>
        <v>1345</v>
      </c>
    </row>
    <row r="89" spans="1:16" x14ac:dyDescent="0.35">
      <c r="A89" t="s">
        <v>66</v>
      </c>
      <c r="B89" t="s">
        <v>69</v>
      </c>
      <c r="C89">
        <v>8</v>
      </c>
      <c r="D89" t="s">
        <v>98</v>
      </c>
      <c r="E89" t="s">
        <v>99</v>
      </c>
      <c r="F89" t="s">
        <v>86</v>
      </c>
      <c r="G89">
        <v>0.59528944895696501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10</v>
      </c>
      <c r="K89" s="5" cm="1">
        <f t="array" ref="K89">IFERROR(AVERAGE(IF((OutputTable[GroupByKey]=OutputTable[[#This Row],[GroupByKey]]),(OutputTable[GroupByKey]=OutputTable[[#This Row],[GroupByKey]])*OutputTable[RecordedValue])),0)</f>
        <v>0.59561658015121266</v>
      </c>
      <c r="L89" s="5" cm="1">
        <f t="array" ref="L89">IFERROR(_xlfn.STDEV.S(IF((OutputTable[GroupByKey]=OutputTable[[#This Row],[GroupByKey]]),(OutputTable[GroupByKey]=OutputTable[[#This Row],[GroupByKey]])*OutputTable[RecordedValue])),0)</f>
        <v>8.1342721434722529E-3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89" s="5" cm="1">
        <f t="array" ref="O89">MIN(IF((OutputTable[GroupByKey]=OutputTable[[#This Row],[GroupByKey]]),(OutputTable[GroupByKey]=OutputTable[[#This Row],[GroupByKey]])*OutputTable[RecordedValue]))</f>
        <v>0.58095472748131705</v>
      </c>
      <c r="P89" s="5" cm="1">
        <f t="array" ref="P89">MAX(IF((OutputTable[GroupByKey]=OutputTable[[#This Row],[GroupByKey]]),(OutputTable[GroupByKey]=OutputTable[[#This Row],[GroupByKey]])*OutputTable[RecordedValue]))</f>
        <v>0.60761888382065699</v>
      </c>
    </row>
    <row r="90" spans="1:16" x14ac:dyDescent="0.35">
      <c r="A90" t="s">
        <v>66</v>
      </c>
      <c r="B90" t="s">
        <v>69</v>
      </c>
      <c r="C90">
        <v>8</v>
      </c>
      <c r="D90" t="s">
        <v>100</v>
      </c>
      <c r="E90" t="s">
        <v>97</v>
      </c>
      <c r="F90" t="s">
        <v>86</v>
      </c>
      <c r="G90">
        <v>832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ProjectOp2.NumberSeizedTotal Number SeizedResource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10</v>
      </c>
      <c r="K90" s="5" cm="1">
        <f t="array" ref="K90">IFERROR(AVERAGE(IF((OutputTable[GroupByKey]=OutputTable[[#This Row],[GroupByKey]]),(OutputTable[GroupByKey]=OutputTable[[#This Row],[GroupByKey]])*OutputTable[RecordedValue])),0)</f>
        <v>829.4</v>
      </c>
      <c r="L90" s="5" cm="1">
        <f t="array" ref="L90">IFERROR(_xlfn.STDEV.S(IF((OutputTable[GroupByKey]=OutputTable[[#This Row],[GroupByKey]]),(OutputTable[GroupByKey]=OutputTable[[#This Row],[GroupByKey]])*OutputTable[RecordedValue])),0)</f>
        <v>4.2739521132865619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90" s="5" cm="1">
        <f t="array" ref="O90">MIN(IF((OutputTable[GroupByKey]=OutputTable[[#This Row],[GroupByKey]]),(OutputTable[GroupByKey]=OutputTable[[#This Row],[GroupByKey]])*OutputTable[RecordedValue]))</f>
        <v>824</v>
      </c>
      <c r="P90" s="5" cm="1">
        <f t="array" ref="P90">MAX(IF((OutputTable[GroupByKey]=OutputTable[[#This Row],[GroupByKey]]),(OutputTable[GroupByKey]=OutputTable[[#This Row],[GroupByKey]])*OutputTable[RecordedValue]))</f>
        <v>836</v>
      </c>
    </row>
    <row r="91" spans="1:16" x14ac:dyDescent="0.35">
      <c r="A91" t="s">
        <v>66</v>
      </c>
      <c r="B91" t="s">
        <v>69</v>
      </c>
      <c r="C91">
        <v>8</v>
      </c>
      <c r="D91" t="s">
        <v>101</v>
      </c>
      <c r="E91" t="s">
        <v>99</v>
      </c>
      <c r="F91" t="s">
        <v>86</v>
      </c>
      <c r="G91">
        <v>0.80586278928597399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10</v>
      </c>
      <c r="K91" s="5" cm="1">
        <f t="array" ref="K91">IFERROR(AVERAGE(IF((OutputTable[GroupByKey]=OutputTable[[#This Row],[GroupByKey]]),(OutputTable[GroupByKey]=OutputTable[[#This Row],[GroupByKey]])*OutputTable[RecordedValue])),0)</f>
        <v>0.80260519246045448</v>
      </c>
      <c r="L91" s="5" cm="1">
        <f t="array" ref="L91">IFERROR(_xlfn.STDEV.S(IF((OutputTable[GroupByKey]=OutputTable[[#This Row],[GroupByKey]]),(OutputTable[GroupByKey]=OutputTable[[#This Row],[GroupByKey]])*OutputTable[RecordedValue])),0)</f>
        <v>5.033613012173632E-3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91" s="5" cm="1">
        <f t="array" ref="O91">MIN(IF((OutputTable[GroupByKey]=OutputTable[[#This Row],[GroupByKey]]),(OutputTable[GroupByKey]=OutputTable[[#This Row],[GroupByKey]])*OutputTable[RecordedValue]))</f>
        <v>0.79210128641287902</v>
      </c>
      <c r="P91" s="5" cm="1">
        <f t="array" ref="P91">MAX(IF((OutputTable[GroupByKey]=OutputTable[[#This Row],[GroupByKey]]),(OutputTable[GroupByKey]=OutputTable[[#This Row],[GroupByKey]])*OutputTable[RecordedValue]))</f>
        <v>0.80913537591663398</v>
      </c>
    </row>
    <row r="92" spans="1:16" x14ac:dyDescent="0.35">
      <c r="A92" t="s">
        <v>66</v>
      </c>
      <c r="B92" t="s">
        <v>69</v>
      </c>
      <c r="C92">
        <v>8</v>
      </c>
      <c r="D92" t="s">
        <v>102</v>
      </c>
      <c r="E92" t="s">
        <v>97</v>
      </c>
      <c r="F92" t="s">
        <v>86</v>
      </c>
      <c r="G92">
        <v>817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ProjectOp3.NumberSeizedTotal Number SeizedResource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10</v>
      </c>
      <c r="K92" s="5" cm="1">
        <f t="array" ref="K92">IFERROR(AVERAGE(IF((OutputTable[GroupByKey]=OutputTable[[#This Row],[GroupByKey]]),(OutputTable[GroupByKey]=OutputTable[[#This Row],[GroupByKey]])*OutputTable[RecordedValue])),0)</f>
        <v>815.3</v>
      </c>
      <c r="L92" s="5" cm="1">
        <f t="array" ref="L92">IFERROR(_xlfn.STDEV.S(IF((OutputTable[GroupByKey]=OutputTable[[#This Row],[GroupByKey]]),(OutputTable[GroupByKey]=OutputTable[[#This Row],[GroupByKey]])*OutputTable[RecordedValue])),0)</f>
        <v>2.5841396591085743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92" s="5" cm="1">
        <f t="array" ref="O92">MIN(IF((OutputTable[GroupByKey]=OutputTable[[#This Row],[GroupByKey]]),(OutputTable[GroupByKey]=OutputTable[[#This Row],[GroupByKey]])*OutputTable[RecordedValue]))</f>
        <v>812</v>
      </c>
      <c r="P92" s="5" cm="1">
        <f t="array" ref="P92">MAX(IF((OutputTable[GroupByKey]=OutputTable[[#This Row],[GroupByKey]]),(OutputTable[GroupByKey]=OutputTable[[#This Row],[GroupByKey]])*OutputTable[RecordedValue]))</f>
        <v>820</v>
      </c>
    </row>
    <row r="93" spans="1:16" x14ac:dyDescent="0.35">
      <c r="A93" t="s">
        <v>66</v>
      </c>
      <c r="B93" t="s">
        <v>69</v>
      </c>
      <c r="C93">
        <v>8</v>
      </c>
      <c r="D93" t="s">
        <v>103</v>
      </c>
      <c r="E93" t="s">
        <v>99</v>
      </c>
      <c r="F93" t="s">
        <v>86</v>
      </c>
      <c r="G93">
        <v>0.83459722885795196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10</v>
      </c>
      <c r="K93" s="5" cm="1">
        <f t="array" ref="K93">IFERROR(AVERAGE(IF((OutputTable[GroupByKey]=OutputTable[[#This Row],[GroupByKey]]),(OutputTable[GroupByKey]=OutputTable[[#This Row],[GroupByKey]])*OutputTable[RecordedValue])),0)</f>
        <v>0.83234137275869524</v>
      </c>
      <c r="L93" s="5" cm="1">
        <f t="array" ref="L93">IFERROR(_xlfn.STDEV.S(IF((OutputTable[GroupByKey]=OutputTable[[#This Row],[GroupByKey]]),(OutputTable[GroupByKey]=OutputTable[[#This Row],[GroupByKey]])*OutputTable[RecordedValue])),0)</f>
        <v>2.7440653084185238E-3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93" s="5" cm="1">
        <f t="array" ref="O93">MIN(IF((OutputTable[GroupByKey]=OutputTable[[#This Row],[GroupByKey]]),(OutputTable[GroupByKey]=OutputTable[[#This Row],[GroupByKey]])*OutputTable[RecordedValue]))</f>
        <v>0.82778443412963498</v>
      </c>
      <c r="P93" s="5" cm="1">
        <f t="array" ref="P93">MAX(IF((OutputTable[GroupByKey]=OutputTable[[#This Row],[GroupByKey]]),(OutputTable[GroupByKey]=OutputTable[[#This Row],[GroupByKey]])*OutputTable[RecordedValue]))</f>
        <v>0.835591266164598</v>
      </c>
    </row>
    <row r="94" spans="1:16" x14ac:dyDescent="0.35">
      <c r="A94" t="s">
        <v>66</v>
      </c>
      <c r="B94" t="s">
        <v>69</v>
      </c>
      <c r="C94">
        <v>8</v>
      </c>
      <c r="D94" t="s">
        <v>104</v>
      </c>
      <c r="E94" t="s">
        <v>97</v>
      </c>
      <c r="F94" t="s">
        <v>86</v>
      </c>
      <c r="G94">
        <v>822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ProjectOp4.NumberSeizedTotal Number SeizedResource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10</v>
      </c>
      <c r="K94" s="5" cm="1">
        <f t="array" ref="K94">IFERROR(AVERAGE(IF((OutputTable[GroupByKey]=OutputTable[[#This Row],[GroupByKey]]),(OutputTable[GroupByKey]=OutputTable[[#This Row],[GroupByKey]])*OutputTable[RecordedValue])),0)</f>
        <v>815.5</v>
      </c>
      <c r="L94" s="5" cm="1">
        <f t="array" ref="L94">IFERROR(_xlfn.STDEV.S(IF((OutputTable[GroupByKey]=OutputTable[[#This Row],[GroupByKey]]),(OutputTable[GroupByKey]=OutputTable[[#This Row],[GroupByKey]])*OutputTable[RecordedValue])),0)</f>
        <v>3.6590830666833583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94" s="5" cm="1">
        <f t="array" ref="O94">MIN(IF((OutputTable[GroupByKey]=OutputTable[[#This Row],[GroupByKey]]),(OutputTable[GroupByKey]=OutputTable[[#This Row],[GroupByKey]])*OutputTable[RecordedValue]))</f>
        <v>811</v>
      </c>
      <c r="P94" s="5" cm="1">
        <f t="array" ref="P94">MAX(IF((OutputTable[GroupByKey]=OutputTable[[#This Row],[GroupByKey]]),(OutputTable[GroupByKey]=OutputTable[[#This Row],[GroupByKey]])*OutputTable[RecordedValue]))</f>
        <v>822</v>
      </c>
    </row>
    <row r="95" spans="1:16" x14ac:dyDescent="0.35">
      <c r="A95" t="s">
        <v>66</v>
      </c>
      <c r="B95" t="s">
        <v>69</v>
      </c>
      <c r="C95">
        <v>8</v>
      </c>
      <c r="D95" t="s">
        <v>105</v>
      </c>
      <c r="E95" t="s">
        <v>99</v>
      </c>
      <c r="F95" t="s">
        <v>86</v>
      </c>
      <c r="G95">
        <v>0.83882879042182301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10</v>
      </c>
      <c r="K95" s="5" cm="1">
        <f t="array" ref="K95">IFERROR(AVERAGE(IF((OutputTable[GroupByKey]=OutputTable[[#This Row],[GroupByKey]]),(OutputTable[GroupByKey]=OutputTable[[#This Row],[GroupByKey]])*OutputTable[RecordedValue])),0)</f>
        <v>0.83254124414775088</v>
      </c>
      <c r="L95" s="5" cm="1">
        <f t="array" ref="L95">IFERROR(_xlfn.STDEV.S(IF((OutputTable[GroupByKey]=OutputTable[[#This Row],[GroupByKey]]),(OutputTable[GroupByKey]=OutputTable[[#This Row],[GroupByKey]])*OutputTable[RecordedValue])),0)</f>
        <v>4.1141718378968446E-3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95" s="5" cm="1">
        <f t="array" ref="O95">MIN(IF((OutputTable[GroupByKey]=OutputTable[[#This Row],[GroupByKey]]),(OutputTable[GroupByKey]=OutputTable[[#This Row],[GroupByKey]])*OutputTable[RecordedValue]))</f>
        <v>0.82692860079846797</v>
      </c>
      <c r="P95" s="5" cm="1">
        <f t="array" ref="P95">MAX(IF((OutputTable[GroupByKey]=OutputTable[[#This Row],[GroupByKey]]),(OutputTable[GroupByKey]=OutputTable[[#This Row],[GroupByKey]])*OutputTable[RecordedValue]))</f>
        <v>0.83908808891262199</v>
      </c>
    </row>
    <row r="96" spans="1:16" x14ac:dyDescent="0.35">
      <c r="A96" t="s">
        <v>66</v>
      </c>
      <c r="B96" t="s">
        <v>69</v>
      </c>
      <c r="C96">
        <v>8</v>
      </c>
      <c r="D96" t="s">
        <v>106</v>
      </c>
      <c r="E96" t="s">
        <v>95</v>
      </c>
      <c r="F96" t="s">
        <v>107</v>
      </c>
      <c r="G96">
        <v>3534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ProjectSystem.NumberOutNumber OutSystem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10</v>
      </c>
      <c r="K96" s="5" cm="1">
        <f t="array" ref="K96">IFERROR(AVERAGE(IF((OutputTable[GroupByKey]=OutputTable[[#This Row],[GroupByKey]]),(OutputTable[GroupByKey]=OutputTable[[#This Row],[GroupByKey]])*OutputTable[RecordedValue])),0)</f>
        <v>3519.3</v>
      </c>
      <c r="L96" s="5" cm="1">
        <f t="array" ref="L96">IFERROR(_xlfn.STDEV.S(IF((OutputTable[GroupByKey]=OutputTable[[#This Row],[GroupByKey]]),(OutputTable[GroupByKey]=OutputTable[[#This Row],[GroupByKey]])*OutputTable[RecordedValue])),0)</f>
        <v>12.596736790843009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96" s="5" cm="1">
        <f t="array" ref="O96">MIN(IF((OutputTable[GroupByKey]=OutputTable[[#This Row],[GroupByKey]]),(OutputTable[GroupByKey]=OutputTable[[#This Row],[GroupByKey]])*OutputTable[RecordedValue]))</f>
        <v>3504</v>
      </c>
      <c r="P96" s="5" cm="1">
        <f t="array" ref="P96">MAX(IF((OutputTable[GroupByKey]=OutputTable[[#This Row],[GroupByKey]]),(OutputTable[GroupByKey]=OutputTable[[#This Row],[GroupByKey]])*OutputTable[RecordedValue]))</f>
        <v>3539</v>
      </c>
    </row>
    <row r="97" spans="1:16" x14ac:dyDescent="0.35">
      <c r="A97" t="s">
        <v>66</v>
      </c>
      <c r="B97" t="s">
        <v>69</v>
      </c>
      <c r="C97">
        <v>8</v>
      </c>
      <c r="D97" t="s">
        <v>108</v>
      </c>
      <c r="E97" t="s">
        <v>109</v>
      </c>
      <c r="F97" t="s">
        <v>110</v>
      </c>
      <c r="G97">
        <v>6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ProjecttidiSystemetOutputUser Specified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10</v>
      </c>
      <c r="K97" s="5" cm="1">
        <f t="array" ref="K97">IFERROR(AVERAGE(IF((OutputTable[GroupByKey]=OutputTable[[#This Row],[GroupByKey]]),(OutputTable[GroupByKey]=OutputTable[[#This Row],[GroupByKey]])*OutputTable[RecordedValue])),0)</f>
        <v>6</v>
      </c>
      <c r="L97" s="5" cm="1">
        <f t="array" ref="L97">IFERROR(_xlfn.STDEV.S(IF((OutputTable[GroupByKey]=OutputTable[[#This Row],[GroupByKey]]),(OutputTable[GroupByKey]=OutputTable[[#This Row],[GroupByKey]])*OutputTable[RecordedValue])),0)</f>
        <v>0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97" s="5" cm="1">
        <f t="array" ref="O97">MIN(IF((OutputTable[GroupByKey]=OutputTable[[#This Row],[GroupByKey]]),(OutputTable[GroupByKey]=OutputTable[[#This Row],[GroupByKey]])*OutputTable[RecordedValue]))</f>
        <v>6</v>
      </c>
      <c r="P97" s="5" cm="1">
        <f t="array" ref="P97">MAX(IF((OutputTable[GroupByKey]=OutputTable[[#This Row],[GroupByKey]]),(OutputTable[GroupByKey]=OutputTable[[#This Row],[GroupByKey]])*OutputTable[RecordedValue]))</f>
        <v>6</v>
      </c>
    </row>
    <row r="98" spans="1:16" x14ac:dyDescent="0.35">
      <c r="A98" t="s">
        <v>66</v>
      </c>
      <c r="B98" t="s">
        <v>69</v>
      </c>
      <c r="C98">
        <v>9</v>
      </c>
      <c r="D98" t="s">
        <v>92</v>
      </c>
      <c r="E98" t="s">
        <v>93</v>
      </c>
      <c r="F98" t="s">
        <v>72</v>
      </c>
      <c r="G98">
        <v>3533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ProjectByggsats.NumberInNumber InEntity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10</v>
      </c>
      <c r="K98" s="5" cm="1">
        <f t="array" ref="K98">IFERROR(AVERAGE(IF((OutputTable[GroupByKey]=OutputTable[[#This Row],[GroupByKey]]),(OutputTable[GroupByKey]=OutputTable[[#This Row],[GroupByKey]])*OutputTable[RecordedValue])),0)</f>
        <v>3523.8</v>
      </c>
      <c r="L98" s="5" cm="1">
        <f t="array" ref="L98">IFERROR(_xlfn.STDEV.S(IF((OutputTable[GroupByKey]=OutputTable[[#This Row],[GroupByKey]]),(OutputTable[GroupByKey]=OutputTable[[#This Row],[GroupByKey]])*OutputTable[RecordedValue])),0)</f>
        <v>12.35403667722507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98" s="5" cm="1">
        <f t="array" ref="O98">MIN(IF((OutputTable[GroupByKey]=OutputTable[[#This Row],[GroupByKey]]),(OutputTable[GroupByKey]=OutputTable[[#This Row],[GroupByKey]])*OutputTable[RecordedValue]))</f>
        <v>3509</v>
      </c>
      <c r="P98" s="5" cm="1">
        <f t="array" ref="P98">MAX(IF((OutputTable[GroupByKey]=OutputTable[[#This Row],[GroupByKey]]),(OutputTable[GroupByKey]=OutputTable[[#This Row],[GroupByKey]])*OutputTable[RecordedValue]))</f>
        <v>3543</v>
      </c>
    </row>
    <row r="99" spans="1:16" x14ac:dyDescent="0.35">
      <c r="A99" t="s">
        <v>66</v>
      </c>
      <c r="B99" t="s">
        <v>69</v>
      </c>
      <c r="C99">
        <v>9</v>
      </c>
      <c r="D99" t="s">
        <v>94</v>
      </c>
      <c r="E99" t="s">
        <v>95</v>
      </c>
      <c r="F99" t="s">
        <v>72</v>
      </c>
      <c r="G99">
        <v>3529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ProjectByggsats.NumberOutNumber OutEntity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10</v>
      </c>
      <c r="K99" s="5" cm="1">
        <f t="array" ref="K99">IFERROR(AVERAGE(IF((OutputTable[GroupByKey]=OutputTable[[#This Row],[GroupByKey]]),(OutputTable[GroupByKey]=OutputTable[[#This Row],[GroupByKey]])*OutputTable[RecordedValue])),0)</f>
        <v>3519.3</v>
      </c>
      <c r="L99" s="5" cm="1">
        <f t="array" ref="L99">IFERROR(_xlfn.STDEV.S(IF((OutputTable[GroupByKey]=OutputTable[[#This Row],[GroupByKey]]),(OutputTable[GroupByKey]=OutputTable[[#This Row],[GroupByKey]])*OutputTable[RecordedValue])),0)</f>
        <v>12.596736790843009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99" s="5" cm="1">
        <f t="array" ref="O99">MIN(IF((OutputTable[GroupByKey]=OutputTable[[#This Row],[GroupByKey]]),(OutputTable[GroupByKey]=OutputTable[[#This Row],[GroupByKey]])*OutputTable[RecordedValue]))</f>
        <v>3504</v>
      </c>
      <c r="P99" s="5" cm="1">
        <f t="array" ref="P99">MAX(IF((OutputTable[GroupByKey]=OutputTable[[#This Row],[GroupByKey]]),(OutputTable[GroupByKey]=OutputTable[[#This Row],[GroupByKey]])*OutputTable[RecordedValue]))</f>
        <v>3539</v>
      </c>
    </row>
    <row r="100" spans="1:16" x14ac:dyDescent="0.35">
      <c r="A100" t="s">
        <v>66</v>
      </c>
      <c r="B100" t="s">
        <v>69</v>
      </c>
      <c r="C100">
        <v>9</v>
      </c>
      <c r="D100" t="s">
        <v>96</v>
      </c>
      <c r="E100" t="s">
        <v>97</v>
      </c>
      <c r="F100" t="s">
        <v>86</v>
      </c>
      <c r="G100">
        <v>1327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ProjectOp1.NumberSeizedTotal Number SeizedResource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10</v>
      </c>
      <c r="K100" s="5" cm="1">
        <f t="array" ref="K100">IFERROR(AVERAGE(IF((OutputTable[GroupByKey]=OutputTable[[#This Row],[GroupByKey]]),(OutputTable[GroupByKey]=OutputTable[[#This Row],[GroupByKey]])*OutputTable[RecordedValue])),0)</f>
        <v>1322.1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16.434719346554107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100" s="5" cm="1">
        <f t="array" ref="O100">MIN(IF((OutputTable[GroupByKey]=OutputTable[[#This Row],[GroupByKey]]),(OutputTable[GroupByKey]=OutputTable[[#This Row],[GroupByKey]])*OutputTable[RecordedValue]))</f>
        <v>1291</v>
      </c>
      <c r="P100" s="5" cm="1">
        <f t="array" ref="P100">MAX(IF((OutputTable[GroupByKey]=OutputTable[[#This Row],[GroupByKey]]),(OutputTable[GroupByKey]=OutputTable[[#This Row],[GroupByKey]])*OutputTable[RecordedValue]))</f>
        <v>1345</v>
      </c>
    </row>
    <row r="101" spans="1:16" x14ac:dyDescent="0.35">
      <c r="A101" t="s">
        <v>66</v>
      </c>
      <c r="B101" t="s">
        <v>69</v>
      </c>
      <c r="C101">
        <v>9</v>
      </c>
      <c r="D101" t="s">
        <v>98</v>
      </c>
      <c r="E101" t="s">
        <v>99</v>
      </c>
      <c r="F101" t="s">
        <v>86</v>
      </c>
      <c r="G101">
        <v>0.59666349377163097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10</v>
      </c>
      <c r="K101" s="5" cm="1">
        <f t="array" ref="K101">IFERROR(AVERAGE(IF((OutputTable[GroupByKey]=OutputTable[[#This Row],[GroupByKey]]),(OutputTable[GroupByKey]=OutputTable[[#This Row],[GroupByKey]])*OutputTable[RecordedValue])),0)</f>
        <v>0.59561658015121266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8.1342721434722529E-3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101" s="5" cm="1">
        <f t="array" ref="O101">MIN(IF((OutputTable[GroupByKey]=OutputTable[[#This Row],[GroupByKey]]),(OutputTable[GroupByKey]=OutputTable[[#This Row],[GroupByKey]])*OutputTable[RecordedValue]))</f>
        <v>0.58095472748131705</v>
      </c>
      <c r="P101" s="5" cm="1">
        <f t="array" ref="P101">MAX(IF((OutputTable[GroupByKey]=OutputTable[[#This Row],[GroupByKey]]),(OutputTable[GroupByKey]=OutputTable[[#This Row],[GroupByKey]])*OutputTable[RecordedValue]))</f>
        <v>0.60761888382065699</v>
      </c>
    </row>
    <row r="102" spans="1:16" x14ac:dyDescent="0.35">
      <c r="A102" t="s">
        <v>66</v>
      </c>
      <c r="B102" t="s">
        <v>69</v>
      </c>
      <c r="C102">
        <v>9</v>
      </c>
      <c r="D102" t="s">
        <v>100</v>
      </c>
      <c r="E102" t="s">
        <v>97</v>
      </c>
      <c r="F102" t="s">
        <v>86</v>
      </c>
      <c r="G102">
        <v>825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ProjectOp2.NumberSeizedTotal Number SeizedResource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10</v>
      </c>
      <c r="K102" s="5" cm="1">
        <f t="array" ref="K102">IFERROR(AVERAGE(IF((OutputTable[GroupByKey]=OutputTable[[#This Row],[GroupByKey]]),(OutputTable[GroupByKey]=OutputTable[[#This Row],[GroupByKey]])*OutputTable[RecordedValue])),0)</f>
        <v>829.4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4.2739521132865619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102" s="5" cm="1">
        <f t="array" ref="O102">MIN(IF((OutputTable[GroupByKey]=OutputTable[[#This Row],[GroupByKey]]),(OutputTable[GroupByKey]=OutputTable[[#This Row],[GroupByKey]])*OutputTable[RecordedValue]))</f>
        <v>824</v>
      </c>
      <c r="P102" s="5" cm="1">
        <f t="array" ref="P102">MAX(IF((OutputTable[GroupByKey]=OutputTable[[#This Row],[GroupByKey]]),(OutputTable[GroupByKey]=OutputTable[[#This Row],[GroupByKey]])*OutputTable[RecordedValue]))</f>
        <v>836</v>
      </c>
    </row>
    <row r="103" spans="1:16" x14ac:dyDescent="0.35">
      <c r="A103" t="s">
        <v>66</v>
      </c>
      <c r="B103" t="s">
        <v>69</v>
      </c>
      <c r="C103">
        <v>9</v>
      </c>
      <c r="D103" t="s">
        <v>101</v>
      </c>
      <c r="E103" t="s">
        <v>99</v>
      </c>
      <c r="F103" t="s">
        <v>86</v>
      </c>
      <c r="G103">
        <v>0.79679566284641001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10</v>
      </c>
      <c r="K103" s="5" cm="1">
        <f t="array" ref="K103">IFERROR(AVERAGE(IF((OutputTable[GroupByKey]=OutputTable[[#This Row],[GroupByKey]]),(OutputTable[GroupByKey]=OutputTable[[#This Row],[GroupByKey]])*OutputTable[RecordedValue])),0)</f>
        <v>0.80260519246045448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5.033613012173632E-3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103" s="5" cm="1">
        <f t="array" ref="O103">MIN(IF((OutputTable[GroupByKey]=OutputTable[[#This Row],[GroupByKey]]),(OutputTable[GroupByKey]=OutputTable[[#This Row],[GroupByKey]])*OutputTable[RecordedValue]))</f>
        <v>0.79210128641287902</v>
      </c>
      <c r="P103" s="5" cm="1">
        <f t="array" ref="P103">MAX(IF((OutputTable[GroupByKey]=OutputTable[[#This Row],[GroupByKey]]),(OutputTable[GroupByKey]=OutputTable[[#This Row],[GroupByKey]])*OutputTable[RecordedValue]))</f>
        <v>0.80913537591663398</v>
      </c>
    </row>
    <row r="104" spans="1:16" x14ac:dyDescent="0.35">
      <c r="A104" t="s">
        <v>66</v>
      </c>
      <c r="B104" t="s">
        <v>69</v>
      </c>
      <c r="C104">
        <v>9</v>
      </c>
      <c r="D104" t="s">
        <v>102</v>
      </c>
      <c r="E104" t="s">
        <v>97</v>
      </c>
      <c r="F104" t="s">
        <v>86</v>
      </c>
      <c r="G104">
        <v>815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ProjectOp3.NumberSeizedTotal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10</v>
      </c>
      <c r="K104" s="5" cm="1">
        <f t="array" ref="K104">IFERROR(AVERAGE(IF((OutputTable[GroupByKey]=OutputTable[[#This Row],[GroupByKey]]),(OutputTable[GroupByKey]=OutputTable[[#This Row],[GroupByKey]])*OutputTable[RecordedValue])),0)</f>
        <v>815.3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2.5841396591085743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104" s="5" cm="1">
        <f t="array" ref="O104">MIN(IF((OutputTable[GroupByKey]=OutputTable[[#This Row],[GroupByKey]]),(OutputTable[GroupByKey]=OutputTable[[#This Row],[GroupByKey]])*OutputTable[RecordedValue]))</f>
        <v>812</v>
      </c>
      <c r="P104" s="5" cm="1">
        <f t="array" ref="P104">MAX(IF((OutputTable[GroupByKey]=OutputTable[[#This Row],[GroupByKey]]),(OutputTable[GroupByKey]=OutputTable[[#This Row],[GroupByKey]])*OutputTable[RecordedValue]))</f>
        <v>820</v>
      </c>
    </row>
    <row r="105" spans="1:16" x14ac:dyDescent="0.35">
      <c r="A105" t="s">
        <v>66</v>
      </c>
      <c r="B105" t="s">
        <v>69</v>
      </c>
      <c r="C105">
        <v>9</v>
      </c>
      <c r="D105" t="s">
        <v>103</v>
      </c>
      <c r="E105" t="s">
        <v>99</v>
      </c>
      <c r="F105" t="s">
        <v>86</v>
      </c>
      <c r="G105">
        <v>0.83424289436680299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10</v>
      </c>
      <c r="K105" s="5" cm="1">
        <f t="array" ref="K105">IFERROR(AVERAGE(IF((OutputTable[GroupByKey]=OutputTable[[#This Row],[GroupByKey]]),(OutputTable[GroupByKey]=OutputTable[[#This Row],[GroupByKey]])*OutputTable[RecordedValue])),0)</f>
        <v>0.83234137275869524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2.7440653084185238E-3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105" s="5" cm="1">
        <f t="array" ref="O105">MIN(IF((OutputTable[GroupByKey]=OutputTable[[#This Row],[GroupByKey]]),(OutputTable[GroupByKey]=OutputTable[[#This Row],[GroupByKey]])*OutputTable[RecordedValue]))</f>
        <v>0.82778443412963498</v>
      </c>
      <c r="P105" s="5" cm="1">
        <f t="array" ref="P105">MAX(IF((OutputTable[GroupByKey]=OutputTable[[#This Row],[GroupByKey]]),(OutputTable[GroupByKey]=OutputTable[[#This Row],[GroupByKey]])*OutputTable[RecordedValue]))</f>
        <v>0.835591266164598</v>
      </c>
    </row>
    <row r="106" spans="1:16" x14ac:dyDescent="0.35">
      <c r="A106" t="s">
        <v>66</v>
      </c>
      <c r="B106" t="s">
        <v>69</v>
      </c>
      <c r="C106">
        <v>9</v>
      </c>
      <c r="D106" t="s">
        <v>104</v>
      </c>
      <c r="E106" t="s">
        <v>97</v>
      </c>
      <c r="F106" t="s">
        <v>86</v>
      </c>
      <c r="G106">
        <v>813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ProjectOp4.NumberSeizedTotal Number SeizedResource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10</v>
      </c>
      <c r="K106" s="5" cm="1">
        <f t="array" ref="K106">IFERROR(AVERAGE(IF((OutputTable[GroupByKey]=OutputTable[[#This Row],[GroupByKey]]),(OutputTable[GroupByKey]=OutputTable[[#This Row],[GroupByKey]])*OutputTable[RecordedValue])),0)</f>
        <v>815.5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3.6590830666833583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106" s="5" cm="1">
        <f t="array" ref="O106">MIN(IF((OutputTable[GroupByKey]=OutputTable[[#This Row],[GroupByKey]]),(OutputTable[GroupByKey]=OutputTable[[#This Row],[GroupByKey]])*OutputTable[RecordedValue]))</f>
        <v>811</v>
      </c>
      <c r="P106" s="5" cm="1">
        <f t="array" ref="P106">MAX(IF((OutputTable[GroupByKey]=OutputTable[[#This Row],[GroupByKey]]),(OutputTable[GroupByKey]=OutputTable[[#This Row],[GroupByKey]])*OutputTable[RecordedValue]))</f>
        <v>822</v>
      </c>
    </row>
    <row r="107" spans="1:16" x14ac:dyDescent="0.35">
      <c r="A107" t="s">
        <v>66</v>
      </c>
      <c r="B107" t="s">
        <v>69</v>
      </c>
      <c r="C107">
        <v>9</v>
      </c>
      <c r="D107" t="s">
        <v>105</v>
      </c>
      <c r="E107" t="s">
        <v>99</v>
      </c>
      <c r="F107" t="s">
        <v>86</v>
      </c>
      <c r="G107">
        <v>0.82692860079846797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10</v>
      </c>
      <c r="K107" s="5" cm="1">
        <f t="array" ref="K107">IFERROR(AVERAGE(IF((OutputTable[GroupByKey]=OutputTable[[#This Row],[GroupByKey]]),(OutputTable[GroupByKey]=OutputTable[[#This Row],[GroupByKey]])*OutputTable[RecordedValue])),0)</f>
        <v>0.83254124414775088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4.1141718378968446E-3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107" s="5" cm="1">
        <f t="array" ref="O107">MIN(IF((OutputTable[GroupByKey]=OutputTable[[#This Row],[GroupByKey]]),(OutputTable[GroupByKey]=OutputTable[[#This Row],[GroupByKey]])*OutputTable[RecordedValue]))</f>
        <v>0.82692860079846797</v>
      </c>
      <c r="P107" s="5" cm="1">
        <f t="array" ref="P107">MAX(IF((OutputTable[GroupByKey]=OutputTable[[#This Row],[GroupByKey]]),(OutputTable[GroupByKey]=OutputTable[[#This Row],[GroupByKey]])*OutputTable[RecordedValue]))</f>
        <v>0.83908808891262199</v>
      </c>
    </row>
    <row r="108" spans="1:16" x14ac:dyDescent="0.35">
      <c r="A108" t="s">
        <v>66</v>
      </c>
      <c r="B108" t="s">
        <v>69</v>
      </c>
      <c r="C108">
        <v>9</v>
      </c>
      <c r="D108" t="s">
        <v>106</v>
      </c>
      <c r="E108" t="s">
        <v>95</v>
      </c>
      <c r="F108" t="s">
        <v>107</v>
      </c>
      <c r="G108">
        <v>3529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ProjectSystem.NumberOutNumber OutSystem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10</v>
      </c>
      <c r="K108" s="5" cm="1">
        <f t="array" ref="K108">IFERROR(AVERAGE(IF((OutputTable[GroupByKey]=OutputTable[[#This Row],[GroupByKey]]),(OutputTable[GroupByKey]=OutputTable[[#This Row],[GroupByKey]])*OutputTable[RecordedValue])),0)</f>
        <v>3519.3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12.596736790843009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108" s="5" cm="1">
        <f t="array" ref="O108">MIN(IF((OutputTable[GroupByKey]=OutputTable[[#This Row],[GroupByKey]]),(OutputTable[GroupByKey]=OutputTable[[#This Row],[GroupByKey]])*OutputTable[RecordedValue]))</f>
        <v>3504</v>
      </c>
      <c r="P108" s="5" cm="1">
        <f t="array" ref="P108">MAX(IF((OutputTable[GroupByKey]=OutputTable[[#This Row],[GroupByKey]]),(OutputTable[GroupByKey]=OutputTable[[#This Row],[GroupByKey]])*OutputTable[RecordedValue]))</f>
        <v>3539</v>
      </c>
    </row>
    <row r="109" spans="1:16" x14ac:dyDescent="0.35">
      <c r="A109" t="s">
        <v>66</v>
      </c>
      <c r="B109" t="s">
        <v>69</v>
      </c>
      <c r="C109">
        <v>9</v>
      </c>
      <c r="D109" t="s">
        <v>108</v>
      </c>
      <c r="E109" t="s">
        <v>109</v>
      </c>
      <c r="F109" t="s">
        <v>110</v>
      </c>
      <c r="G109">
        <v>6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ProjecttidiSystemetOutputUser Specified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10</v>
      </c>
      <c r="K109" s="5" cm="1">
        <f t="array" ref="K109">IFERROR(AVERAGE(IF((OutputTable[GroupByKey]=OutputTable[[#This Row],[GroupByKey]]),(OutputTable[GroupByKey]=OutputTable[[#This Row],[GroupByKey]])*OutputTable[RecordedValue])),0)</f>
        <v>6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09" s="5" cm="1">
        <f t="array" ref="O109">MIN(IF((OutputTable[GroupByKey]=OutputTable[[#This Row],[GroupByKey]]),(OutputTable[GroupByKey]=OutputTable[[#This Row],[GroupByKey]])*OutputTable[RecordedValue]))</f>
        <v>6</v>
      </c>
      <c r="P109" s="5" cm="1">
        <f t="array" ref="P109">MAX(IF((OutputTable[GroupByKey]=OutputTable[[#This Row],[GroupByKey]]),(OutputTable[GroupByKey]=OutputTable[[#This Row],[GroupByKey]])*OutputTable[RecordedValue]))</f>
        <v>6</v>
      </c>
    </row>
    <row r="110" spans="1:16" x14ac:dyDescent="0.35">
      <c r="A110" t="s">
        <v>66</v>
      </c>
      <c r="B110" t="s">
        <v>69</v>
      </c>
      <c r="C110">
        <v>10</v>
      </c>
      <c r="D110" t="s">
        <v>92</v>
      </c>
      <c r="E110" t="s">
        <v>93</v>
      </c>
      <c r="F110" t="s">
        <v>72</v>
      </c>
      <c r="G110">
        <v>3512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ProjectByggsats.NumberInNumber InEntity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10</v>
      </c>
      <c r="K110" s="5" cm="1">
        <f t="array" ref="K110">IFERROR(AVERAGE(IF((OutputTable[GroupByKey]=OutputTable[[#This Row],[GroupByKey]]),(OutputTable[GroupByKey]=OutputTable[[#This Row],[GroupByKey]])*OutputTable[RecordedValue])),0)</f>
        <v>3523.8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12.35403667722507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8.8375454536678362</v>
      </c>
      <c r="O110" s="5" cm="1">
        <f t="array" ref="O110">MIN(IF((OutputTable[GroupByKey]=OutputTable[[#This Row],[GroupByKey]]),(OutputTable[GroupByKey]=OutputTable[[#This Row],[GroupByKey]])*OutputTable[RecordedValue]))</f>
        <v>3509</v>
      </c>
      <c r="P110" s="5" cm="1">
        <f t="array" ref="P110">MAX(IF((OutputTable[GroupByKey]=OutputTable[[#This Row],[GroupByKey]]),(OutputTable[GroupByKey]=OutputTable[[#This Row],[GroupByKey]])*OutputTable[RecordedValue]))</f>
        <v>3543</v>
      </c>
    </row>
    <row r="111" spans="1:16" x14ac:dyDescent="0.35">
      <c r="A111" t="s">
        <v>66</v>
      </c>
      <c r="B111" t="s">
        <v>69</v>
      </c>
      <c r="C111">
        <v>10</v>
      </c>
      <c r="D111" t="s">
        <v>94</v>
      </c>
      <c r="E111" t="s">
        <v>95</v>
      </c>
      <c r="F111" t="s">
        <v>72</v>
      </c>
      <c r="G111">
        <v>3507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ProjectByggsats.NumberOutNumber OutEntity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10</v>
      </c>
      <c r="K111" s="5" cm="1">
        <f t="array" ref="K111">IFERROR(AVERAGE(IF((OutputTable[GroupByKey]=OutputTable[[#This Row],[GroupByKey]]),(OutputTable[GroupByKey]=OutputTable[[#This Row],[GroupByKey]])*OutputTable[RecordedValue])),0)</f>
        <v>3519.3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12.596736790843009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111" s="5" cm="1">
        <f t="array" ref="O111">MIN(IF((OutputTable[GroupByKey]=OutputTable[[#This Row],[GroupByKey]]),(OutputTable[GroupByKey]=OutputTable[[#This Row],[GroupByKey]])*OutputTable[RecordedValue]))</f>
        <v>3504</v>
      </c>
      <c r="P111" s="5" cm="1">
        <f t="array" ref="P111">MAX(IF((OutputTable[GroupByKey]=OutputTable[[#This Row],[GroupByKey]]),(OutputTable[GroupByKey]=OutputTable[[#This Row],[GroupByKey]])*OutputTable[RecordedValue]))</f>
        <v>3539</v>
      </c>
    </row>
    <row r="112" spans="1:16" x14ac:dyDescent="0.35">
      <c r="A112" t="s">
        <v>66</v>
      </c>
      <c r="B112" t="s">
        <v>69</v>
      </c>
      <c r="C112">
        <v>10</v>
      </c>
      <c r="D112" t="s">
        <v>96</v>
      </c>
      <c r="E112" t="s">
        <v>97</v>
      </c>
      <c r="F112" t="s">
        <v>86</v>
      </c>
      <c r="G112">
        <v>1325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ProjectOp1.NumberSeizedTotal Number SeizedResource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10</v>
      </c>
      <c r="K112" s="5" cm="1">
        <f t="array" ref="K112">IFERROR(AVERAGE(IF((OutputTable[GroupByKey]=OutputTable[[#This Row],[GroupByKey]]),(OutputTable[GroupByKey]=OutputTable[[#This Row],[GroupByKey]])*OutputTable[RecordedValue])),0)</f>
        <v>1322.1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16.434719346554107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11.75668998224717</v>
      </c>
      <c r="O112" s="5" cm="1">
        <f t="array" ref="O112">MIN(IF((OutputTable[GroupByKey]=OutputTable[[#This Row],[GroupByKey]]),(OutputTable[GroupByKey]=OutputTable[[#This Row],[GroupByKey]])*OutputTable[RecordedValue]))</f>
        <v>1291</v>
      </c>
      <c r="P112" s="5" cm="1">
        <f t="array" ref="P112">MAX(IF((OutputTable[GroupByKey]=OutputTable[[#This Row],[GroupByKey]]),(OutputTable[GroupByKey]=OutputTable[[#This Row],[GroupByKey]])*OutputTable[RecordedValue]))</f>
        <v>1345</v>
      </c>
    </row>
    <row r="113" spans="1:16" x14ac:dyDescent="0.35">
      <c r="A113" t="s">
        <v>66</v>
      </c>
      <c r="B113" t="s">
        <v>69</v>
      </c>
      <c r="C113">
        <v>10</v>
      </c>
      <c r="D113" t="s">
        <v>98</v>
      </c>
      <c r="E113" t="s">
        <v>99</v>
      </c>
      <c r="F113" t="s">
        <v>86</v>
      </c>
      <c r="G113">
        <v>0.59746940997571296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ProjectOp1.ScheduledUtilizationScheduled UtilizationResource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10</v>
      </c>
      <c r="K113" s="5" cm="1">
        <f t="array" ref="K113">IFERROR(AVERAGE(IF((OutputTable[GroupByKey]=OutputTable[[#This Row],[GroupByKey]]),(OutputTable[GroupByKey]=OutputTable[[#This Row],[GroupByKey]])*OutputTable[RecordedValue])),0)</f>
        <v>0.59561658015121266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8.1342721434722529E-3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5.8189077528776768E-3</v>
      </c>
      <c r="O113" s="5" cm="1">
        <f t="array" ref="O113">MIN(IF((OutputTable[GroupByKey]=OutputTable[[#This Row],[GroupByKey]]),(OutputTable[GroupByKey]=OutputTable[[#This Row],[GroupByKey]])*OutputTable[RecordedValue]))</f>
        <v>0.58095472748131705</v>
      </c>
      <c r="P113" s="5" cm="1">
        <f t="array" ref="P113">MAX(IF((OutputTable[GroupByKey]=OutputTable[[#This Row],[GroupByKey]]),(OutputTable[GroupByKey]=OutputTable[[#This Row],[GroupByKey]])*OutputTable[RecordedValue]))</f>
        <v>0.60761888382065699</v>
      </c>
    </row>
    <row r="114" spans="1:16" x14ac:dyDescent="0.35">
      <c r="A114" t="s">
        <v>66</v>
      </c>
      <c r="B114" t="s">
        <v>69</v>
      </c>
      <c r="C114">
        <v>10</v>
      </c>
      <c r="D114" t="s">
        <v>100</v>
      </c>
      <c r="E114" t="s">
        <v>97</v>
      </c>
      <c r="F114" t="s">
        <v>86</v>
      </c>
      <c r="G114">
        <v>832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ProjectOp2.NumberSeizedTotal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10</v>
      </c>
      <c r="K114" s="5" cm="1">
        <f t="array" ref="K114">IFERROR(AVERAGE(IF((OutputTable[GroupByKey]=OutputTable[[#This Row],[GroupByKey]]),(OutputTable[GroupByKey]=OutputTable[[#This Row],[GroupByKey]])*OutputTable[RecordedValue])),0)</f>
        <v>829.4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4.2739521132865619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3.0574011600274589</v>
      </c>
      <c r="O114" s="5" cm="1">
        <f t="array" ref="O114">MIN(IF((OutputTable[GroupByKey]=OutputTable[[#This Row],[GroupByKey]]),(OutputTable[GroupByKey]=OutputTable[[#This Row],[GroupByKey]])*OutputTable[RecordedValue]))</f>
        <v>824</v>
      </c>
      <c r="P114" s="5" cm="1">
        <f t="array" ref="P114">MAX(IF((OutputTable[GroupByKey]=OutputTable[[#This Row],[GroupByKey]]),(OutputTable[GroupByKey]=OutputTable[[#This Row],[GroupByKey]])*OutputTable[RecordedValue]))</f>
        <v>836</v>
      </c>
    </row>
    <row r="115" spans="1:16" x14ac:dyDescent="0.35">
      <c r="A115" t="s">
        <v>66</v>
      </c>
      <c r="B115" t="s">
        <v>69</v>
      </c>
      <c r="C115">
        <v>10</v>
      </c>
      <c r="D115" t="s">
        <v>101</v>
      </c>
      <c r="E115" t="s">
        <v>99</v>
      </c>
      <c r="F115" t="s">
        <v>86</v>
      </c>
      <c r="G115">
        <v>0.80509912008322904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ProjectOp2.ScheduledUtilizationScheduled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10</v>
      </c>
      <c r="K115" s="5" cm="1">
        <f t="array" ref="K115">IFERROR(AVERAGE(IF((OutputTable[GroupByKey]=OutputTable[[#This Row],[GroupByKey]]),(OutputTable[GroupByKey]=OutputTable[[#This Row],[GroupByKey]])*OutputTable[RecordedValue])),0)</f>
        <v>0.80260519246045448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5.033613012173632E-3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3.6008298302422069E-3</v>
      </c>
      <c r="O115" s="5" cm="1">
        <f t="array" ref="O115">MIN(IF((OutputTable[GroupByKey]=OutputTable[[#This Row],[GroupByKey]]),(OutputTable[GroupByKey]=OutputTable[[#This Row],[GroupByKey]])*OutputTable[RecordedValue]))</f>
        <v>0.79210128641287902</v>
      </c>
      <c r="P115" s="5" cm="1">
        <f t="array" ref="P115">MAX(IF((OutputTable[GroupByKey]=OutputTable[[#This Row],[GroupByKey]]),(OutputTable[GroupByKey]=OutputTable[[#This Row],[GroupByKey]])*OutputTable[RecordedValue]))</f>
        <v>0.80913537591663398</v>
      </c>
    </row>
    <row r="116" spans="1:16" x14ac:dyDescent="0.35">
      <c r="A116" t="s">
        <v>66</v>
      </c>
      <c r="B116" t="s">
        <v>69</v>
      </c>
      <c r="C116">
        <v>10</v>
      </c>
      <c r="D116" t="s">
        <v>102</v>
      </c>
      <c r="E116" t="s">
        <v>97</v>
      </c>
      <c r="F116" t="s">
        <v>86</v>
      </c>
      <c r="G116">
        <v>817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ProjectOp3.NumberSeizedTotal Number SeizedResource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10</v>
      </c>
      <c r="K116" s="5" cm="1">
        <f t="array" ref="K116">IFERROR(AVERAGE(IF((OutputTable[GroupByKey]=OutputTable[[#This Row],[GroupByKey]]),(OutputTable[GroupByKey]=OutputTable[[#This Row],[GroupByKey]])*OutputTable[RecordedValue])),0)</f>
        <v>815.3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2.5841396591085743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1.8485821511359977</v>
      </c>
      <c r="O116" s="5" cm="1">
        <f t="array" ref="O116">MIN(IF((OutputTable[GroupByKey]=OutputTable[[#This Row],[GroupByKey]]),(OutputTable[GroupByKey]=OutputTable[[#This Row],[GroupByKey]])*OutputTable[RecordedValue]))</f>
        <v>812</v>
      </c>
      <c r="P116" s="5" cm="1">
        <f t="array" ref="P116">MAX(IF((OutputTable[GroupByKey]=OutputTable[[#This Row],[GroupByKey]]),(OutputTable[GroupByKey]=OutputTable[[#This Row],[GroupByKey]])*OutputTable[RecordedValue]))</f>
        <v>820</v>
      </c>
    </row>
    <row r="117" spans="1:16" x14ac:dyDescent="0.35">
      <c r="A117" t="s">
        <v>66</v>
      </c>
      <c r="B117" t="s">
        <v>69</v>
      </c>
      <c r="C117">
        <v>10</v>
      </c>
      <c r="D117" t="s">
        <v>103</v>
      </c>
      <c r="E117" t="s">
        <v>99</v>
      </c>
      <c r="F117" t="s">
        <v>86</v>
      </c>
      <c r="G117">
        <v>0.835591266164598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ProjectOp3.ScheduledUtilizationScheduled UtilizationResource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10</v>
      </c>
      <c r="K117" s="5" cm="1">
        <f t="array" ref="K117">IFERROR(AVERAGE(IF((OutputTable[GroupByKey]=OutputTable[[#This Row],[GroupByKey]]),(OutputTable[GroupByKey]=OutputTable[[#This Row],[GroupByKey]])*OutputTable[RecordedValue])),0)</f>
        <v>0.83234137275869524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2.7440653084185238E-3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1.9629860688117127E-3</v>
      </c>
      <c r="O117" s="5" cm="1">
        <f t="array" ref="O117">MIN(IF((OutputTable[GroupByKey]=OutputTable[[#This Row],[GroupByKey]]),(OutputTable[GroupByKey]=OutputTable[[#This Row],[GroupByKey]])*OutputTable[RecordedValue]))</f>
        <v>0.82778443412963498</v>
      </c>
      <c r="P117" s="5" cm="1">
        <f t="array" ref="P117">MAX(IF((OutputTable[GroupByKey]=OutputTable[[#This Row],[GroupByKey]]),(OutputTable[GroupByKey]=OutputTable[[#This Row],[GroupByKey]])*OutputTable[RecordedValue]))</f>
        <v>0.835591266164598</v>
      </c>
    </row>
    <row r="118" spans="1:16" x14ac:dyDescent="0.35">
      <c r="A118" t="s">
        <v>66</v>
      </c>
      <c r="B118" t="s">
        <v>69</v>
      </c>
      <c r="C118">
        <v>10</v>
      </c>
      <c r="D118" t="s">
        <v>104</v>
      </c>
      <c r="E118" t="s">
        <v>97</v>
      </c>
      <c r="F118" t="s">
        <v>86</v>
      </c>
      <c r="G118">
        <v>815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ProjectOp4.NumberSeizedTotal Number SeizedResource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10</v>
      </c>
      <c r="K118" s="5" cm="1">
        <f t="array" ref="K118">IFERROR(AVERAGE(IF((OutputTable[GroupByKey]=OutputTable[[#This Row],[GroupByKey]]),(OutputTable[GroupByKey]=OutputTable[[#This Row],[GroupByKey]])*OutputTable[RecordedValue])),0)</f>
        <v>815.5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3.6590830666833583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2.6175503412722585</v>
      </c>
      <c r="O118" s="5" cm="1">
        <f t="array" ref="O118">MIN(IF((OutputTable[GroupByKey]=OutputTable[[#This Row],[GroupByKey]]),(OutputTable[GroupByKey]=OutputTable[[#This Row],[GroupByKey]])*OutputTable[RecordedValue]))</f>
        <v>811</v>
      </c>
      <c r="P118" s="5" cm="1">
        <f t="array" ref="P118">MAX(IF((OutputTable[GroupByKey]=OutputTable[[#This Row],[GroupByKey]]),(OutputTable[GroupByKey]=OutputTable[[#This Row],[GroupByKey]])*OutputTable[RecordedValue]))</f>
        <v>822</v>
      </c>
    </row>
    <row r="119" spans="1:16" x14ac:dyDescent="0.35">
      <c r="A119" t="s">
        <v>66</v>
      </c>
      <c r="B119" t="s">
        <v>69</v>
      </c>
      <c r="C119">
        <v>10</v>
      </c>
      <c r="D119" t="s">
        <v>105</v>
      </c>
      <c r="E119" t="s">
        <v>99</v>
      </c>
      <c r="F119" t="s">
        <v>86</v>
      </c>
      <c r="G119">
        <v>0.83494662299400701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ProjectOp4.ScheduledUtilizationScheduled UtilizationResource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10</v>
      </c>
      <c r="K119" s="5" cm="1">
        <f t="array" ref="K119">IFERROR(AVERAGE(IF((OutputTable[GroupByKey]=OutputTable[[#This Row],[GroupByKey]]),(OutputTable[GroupByKey]=OutputTable[[#This Row],[GroupByKey]])*OutputTable[RecordedValue])),0)</f>
        <v>0.83254124414775088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4.1141718378968446E-3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2.9431012365895297E-3</v>
      </c>
      <c r="O119" s="5" cm="1">
        <f t="array" ref="O119">MIN(IF((OutputTable[GroupByKey]=OutputTable[[#This Row],[GroupByKey]]),(OutputTable[GroupByKey]=OutputTable[[#This Row],[GroupByKey]])*OutputTable[RecordedValue]))</f>
        <v>0.82692860079846797</v>
      </c>
      <c r="P119" s="5" cm="1">
        <f t="array" ref="P119">MAX(IF((OutputTable[GroupByKey]=OutputTable[[#This Row],[GroupByKey]]),(OutputTable[GroupByKey]=OutputTable[[#This Row],[GroupByKey]])*OutputTable[RecordedValue]))</f>
        <v>0.83908808891262199</v>
      </c>
    </row>
    <row r="120" spans="1:16" x14ac:dyDescent="0.35">
      <c r="A120" t="s">
        <v>66</v>
      </c>
      <c r="B120" t="s">
        <v>69</v>
      </c>
      <c r="C120">
        <v>10</v>
      </c>
      <c r="D120" t="s">
        <v>106</v>
      </c>
      <c r="E120" t="s">
        <v>95</v>
      </c>
      <c r="F120" t="s">
        <v>107</v>
      </c>
      <c r="G120">
        <v>3507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ProjectSystem.NumberOutNumber OutSystem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10</v>
      </c>
      <c r="K120" s="5" cm="1">
        <f t="array" ref="K120">IFERROR(AVERAGE(IF((OutputTable[GroupByKey]=OutputTable[[#This Row],[GroupByKey]]),(OutputTable[GroupByKey]=OutputTable[[#This Row],[GroupByKey]])*OutputTable[RecordedValue])),0)</f>
        <v>3519.3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12.596736790843009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9.011162656024295</v>
      </c>
      <c r="O120" s="5" cm="1">
        <f t="array" ref="O120">MIN(IF((OutputTable[GroupByKey]=OutputTable[[#This Row],[GroupByKey]]),(OutputTable[GroupByKey]=OutputTable[[#This Row],[GroupByKey]])*OutputTable[RecordedValue]))</f>
        <v>3504</v>
      </c>
      <c r="P120" s="5" cm="1">
        <f t="array" ref="P120">MAX(IF((OutputTable[GroupByKey]=OutputTable[[#This Row],[GroupByKey]]),(OutputTable[GroupByKey]=OutputTable[[#This Row],[GroupByKey]])*OutputTable[RecordedValue]))</f>
        <v>3539</v>
      </c>
    </row>
    <row r="121" spans="1:16" x14ac:dyDescent="0.35">
      <c r="A121" t="s">
        <v>66</v>
      </c>
      <c r="B121" t="s">
        <v>69</v>
      </c>
      <c r="C121">
        <v>10</v>
      </c>
      <c r="D121" t="s">
        <v>108</v>
      </c>
      <c r="E121" t="s">
        <v>109</v>
      </c>
      <c r="F121" t="s">
        <v>110</v>
      </c>
      <c r="G121">
        <v>6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ProjecttidiSystemetOutputUser Specified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10</v>
      </c>
      <c r="K121" s="5" cm="1">
        <f t="array" ref="K121">IFERROR(AVERAGE(IF((OutputTable[GroupByKey]=OutputTable[[#This Row],[GroupByKey]]),(OutputTable[GroupByKey]=OutputTable[[#This Row],[GroupByKey]])*OutputTable[RecordedValue])),0)</f>
        <v>6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</v>
      </c>
      <c r="O121" s="5" cm="1">
        <f t="array" ref="O121">MIN(IF((OutputTable[GroupByKey]=OutputTable[[#This Row],[GroupByKey]]),(OutputTable[GroupByKey]=OutputTable[[#This Row],[GroupByKey]])*OutputTable[RecordedValue]))</f>
        <v>6</v>
      </c>
      <c r="P121" s="5" cm="1">
        <f t="array" ref="P121">MAX(IF((OutputTable[GroupByKey]=OutputTable[[#This Row],[GroupByKey]]),(OutputTable[GroupByKey]=OutputTable[[#This Row],[GroupByKey]])*OutputTable[RecordedValue]))</f>
        <v>6</v>
      </c>
    </row>
  </sheetData>
  <phoneticPr fontId="2" type="noConversion"/>
  <conditionalFormatting sqref="I2:P121">
    <cfRule type="expression" dxfId="3" priority="2">
      <formula>MOD(ROW(),2)=0</formula>
    </cfRule>
  </conditionalFormatting>
  <conditionalFormatting sqref="N2:N12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2026-02-22T19:33:30Z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